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DRE" sheetId="2" state="visible" r:id="rId4"/>
    <sheet name="Indicad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<sst xmlns="http://schemas.openxmlformats.org/spreadsheetml/2006/main" count="106" uniqueCount="89">
  <si>
    <t xml:space="preserve">Batistela Gestão Empresarial</t>
  </si>
  <si>
    <t xml:space="preserve">Consultoria em gestão empresarial • Florianópolis, SC</t>
  </si>
  <si>
    <t xml:space="preserve">DRE Gerencial</t>
  </si>
  <si>
    <t xml:space="preserve">DRE Gerencial (Demonstração do Resultado do Exercício): apure mês a mês a receita, os custos, as despesas e o lucro do seu negócio, com margens e indicadores calculados automaticamente.</t>
  </si>
  <si>
    <t xml:space="preserve">Como usar</t>
  </si>
  <si>
    <t xml:space="preserve">1. Na aba DRE, informe o ano de referência e preencha, para cada mês, as células em amarelo: receita bruta, deduções, CMV/CPV/CSP, despesas operacionais, depreciação, resultado financeiro e IR/CSLL.</t>
  </si>
  <si>
    <t xml:space="preserve">2. Digite todos os valores como números positivos. As linhas com (−) já são subtraídas pelas fórmulas; as linhas com (+) são somadas.</t>
  </si>
  <si>
    <t xml:space="preserve">3. Os valores já preenchidos são apenas exemplos: substitua-os pelos dados reais da sua empresa (ou apague para começar do zero).</t>
  </si>
  <si>
    <t xml:space="preserve">4. As colunas Total Ano, Média mensal e % sobre receita, bem como as linhas (=) e as margens, são calculadas automaticamente (células cinza).</t>
  </si>
  <si>
    <t xml:space="preserve">5. Na aba Indicadores, informe quais despesas operacionais são variáveis (ex.: comissões, fretes) para que o ponto de equilíbrio seja calculado corretamente.</t>
  </si>
  <si>
    <t xml:space="preserve">6. Acompanhe o gráfico de Receita Líquida vs. Lucro Líquido na aba Indicadores para identificar tendências e meses críticos.</t>
  </si>
  <si>
    <t xml:space="preserve">7. Use regime de competência: registre receitas e despesas no mês a que se referem, mesmo que o pagamento ocorra em outro mês.</t>
  </si>
  <si>
    <t xml:space="preserve">8. Revise a DRE mensalmente e compare com o planejado para tomar decisões sobre preços, custos e despesas.</t>
  </si>
  <si>
    <t xml:space="preserve">Legenda de cores</t>
  </si>
  <si>
    <t xml:space="preserve">Amarelo claro = célula para preencher (dado de entrada)</t>
  </si>
  <si>
    <t xml:space="preserve">Cinza = fórmula calculada automaticamente, não editar</t>
  </si>
  <si>
    <t xml:space="preserve">Azul-marinho = cabeçalho de tabela</t>
  </si>
  <si>
    <t xml:space="preserve">Importante: as planilhas não estão protegidas. Evite apagar ou mover as células cinza (fórmulas). Se algo sair do lugar, baixe novamente o arquivo original.</t>
  </si>
  <si>
    <t xml:space="preserve">Material gratuito. Dúvidas: info@batistelaconsultoria.com | batistelaconsultoria.com</t>
  </si>
  <si>
    <t xml:space="preserve">Valores em R$. Preencha as células em amarelo com números positivos. Linhas (=) e colunas de totais são automáticas.</t>
  </si>
  <si>
    <t xml:space="preserve">Ano de referência</t>
  </si>
  <si>
    <t xml:space="preserve">Empresa:</t>
  </si>
  <si>
    <t xml:space="preserve">Nome da empresa</t>
  </si>
  <si>
    <t xml:space="preserve">Conta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</si>
  <si>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</si>
  <si>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</si>
  <si>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</si>
  <si>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</si>
  <si>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</si>
  <si>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</si>
  <si>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</si>
  <si>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</si>
  <si>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</si>
  <si>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</si>
  <si>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</si>
  <si>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</si>
  <si>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</t>
  </si>
  <si>
    <t xml:space="preserve">Média mensal</t>
  </si>
  <si>
    <t xml:space="preserve">% sobre receita</t>
  </si>
  <si>
    <t xml:space="preserve">Receita Bruta de Vendas</t>
  </si>
  <si>
    <t xml:space="preserve">(−) Deduções (impostos sobre vendas, devoluções)</t>
  </si>
  <si>
    <t xml:space="preserve">Impostos sobre vendas (ISS, ICMS, PIS/COFINS, Simples)</t>
  </si>
  <si>
    <t xml:space="preserve">Devoluções, cancelamentos e abatimentos</t>
  </si>
  <si>
    <t xml:space="preserve">(=) Receita Líquida</t>
  </si>
  <si>
    <t xml:space="preserve">(−) CMV / CPV / CSP (custo das vendas, produtos ou serviços)</t>
  </si>
  <si>
    <t xml:space="preserve">(=) Lucro Bruto</t>
  </si>
  <si>
    <t xml:space="preserve">Margem Bruta %</t>
  </si>
  <si>
    <t xml:space="preserve">(−) Despesas Operacionais</t>
  </si>
  <si>
    <t xml:space="preserve">Despesas Comerciais</t>
  </si>
  <si>
    <t xml:space="preserve">Despesas Administrativas</t>
  </si>
  <si>
    <t xml:space="preserve">Despesas com Pessoal</t>
  </si>
  <si>
    <t xml:space="preserve">Despesas de Marketing</t>
  </si>
  <si>
    <t xml:space="preserve">Outras Despesas Operacionais</t>
  </si>
  <si>
    <t xml:space="preserve">(=) EBITDA</t>
  </si>
  <si>
    <t xml:space="preserve">Margem EBITDA %</t>
  </si>
  <si>
    <t xml:space="preserve">(−) Depreciação / Amortização</t>
  </si>
  <si>
    <t xml:space="preserve">(−) Despesas Financeiras</t>
  </si>
  <si>
    <t xml:space="preserve">(+) Receitas Financeiras</t>
  </si>
  <si>
    <t xml:space="preserve">(=) Resultado antes do IR</t>
  </si>
  <si>
    <t xml:space="preserve">(−) IR / CSLL</t>
  </si>
  <si>
    <t xml:space="preserve">(=) Lucro Líquido</t>
  </si>
  <si>
    <t xml:space="preserve">Margem Líquida %</t>
  </si>
  <si>
    <t xml:space="preserve">Convenção: digite valores positivos. Linhas (−) são subtraídas e (+) somadas automaticamente. % sobre receita = conta ÷ Receita Líquida do ano. Os números preenchidos são exemplos ilustrativos.</t>
  </si>
  <si>
    <t xml:space="preserve">Indicadores Gerenciais</t>
  </si>
  <si>
    <t xml:space="preserve">Calculados a partir da aba DRE (ano completo). Preencha apenas as células em amarelo.</t>
  </si>
  <si>
    <t xml:space="preserve">Receita Líquida do ano (R$)</t>
  </si>
  <si>
    <t xml:space="preserve">CMV / CPV / CSP do ano (R$)</t>
  </si>
  <si>
    <t xml:space="preserve">Outras despesas variáveis incluídas nas despesas operacionais (ex.: comissões, fretes) (R$)</t>
  </si>
  <si>
    <t xml:space="preserve">Custos e despesas variáveis totais (R$)</t>
  </si>
  <si>
    <t xml:space="preserve">Margem de Contribuição (R$)</t>
  </si>
  <si>
    <t xml:space="preserve">Margem de Contribuição %</t>
  </si>
  <si>
    <t xml:space="preserve">Despesas fixas do ano (desp. operacionais − variáveis + depreciação) (R$)</t>
  </si>
  <si>
    <t xml:space="preserve">Ponto de Equilíbrio anual (R$) = despesas fixas ÷ MC %</t>
  </si>
  <si>
    <t xml:space="preserve">Ponto de Equilíbrio mensal médio (R$)</t>
  </si>
  <si>
    <t xml:space="preserve">Margem de segurança % = (receita − ponto de equilíbrio) ÷ receita</t>
  </si>
  <si>
    <t xml:space="preserve">Lucro Bruto do ano (R$)</t>
  </si>
  <si>
    <t xml:space="preserve">EBITDA do ano (R$)</t>
  </si>
  <si>
    <t xml:space="preserve">Lucro Líquido do ano (R$)</t>
  </si>
  <si>
    <t xml:space="preserve">Despesas operacionais sobre receita líquida %</t>
  </si>
  <si>
    <t xml:space="preserve">Receita líquida média mensal (R$)</t>
  </si>
  <si>
    <t xml:space="preserve">Mês de maior receita líquida</t>
  </si>
  <si>
    <t xml:space="preserve">Mês de maior lucro líquido</t>
  </si>
  <si>
    <t xml:space="preserve">Meses com prejuízo (lucro líquido &lt; 0)</t>
  </si>
  <si>
    <t xml:space="preserve">Ponto de equilíbrio: receita necessária para cobrir todas as despesas fixas (lucro zero). Margem de segurança: quanto a receita pode cair antes de a empresa entrar em prejuízo.</t>
  </si>
  <si>
    <t xml:space="preserve">Evolução mensal</t>
  </si>
  <si>
    <t xml:space="preserve">Indicador</t>
  </si>
  <si>
    <t xml:space="preserve">Receita Líquida</t>
  </si>
  <si>
    <t xml:space="preserve">Lucro Líquido</t>
  </si>
  <si>
    <t xml:space="preserve">EBITDA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</si>
</sst>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&quot;R$ &quot;#,##0.00"/>
    <numFmt numFmtId="167" formatCode="0.0%"/>
    <numFmt numFmtId="168" formatCode="@"/>
    <numFmt numFmtId="169" formatCode="&quot;R$ &quot;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02A44"/>
      <name val="Calibri"/>
      <family val="0"/>
      <charset val="1"/>
    </font>
    <font>
      <i val="true"/>
      <sz val="11"/>
      <color rgb="FFAD965F"/>
      <name val="Calibri"/>
      <family val="0"/>
      <charset val="1"/>
    </font>
    <font>
      <b val="true"/>
      <sz val="13"/>
      <color rgb="FFAD965F"/>
      <name val="Calibri"/>
      <family val="0"/>
      <charset val="1"/>
    </font>
    <font>
      <sz val="11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1"/>
      <color rgb="FF202A44"/>
      <name val="Calibri"/>
      <family val="0"/>
      <charset val="1"/>
    </font>
    <font>
      <b val="true"/>
      <sz val="18"/>
      <color rgb="FF20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ECD5"/>
        <bgColor rgb="FFF2F2F2"/>
      </patternFill>
    </fill>
    <fill>
      <patternFill patternType="solid">
        <fgColor rgb="FFF2F2F2"/>
        <bgColor rgb="FFF5ECD5"/>
      </patternFill>
    </fill>
    <fill>
      <patternFill patternType="solid">
        <fgColor rgb="FF202A44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D965F"/>
      <rgbColor rgb="FF800080"/>
      <rgbColor rgb="FF008080"/>
      <rgbColor rgb="FFBFBFBF"/>
      <rgbColor rgb="FF7F7F7F"/>
      <rgbColor rgb="FF9999FF"/>
      <rgbColor rgb="FF993366"/>
      <rgbColor rgb="FFF5ECD5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0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Líquida vs. Lucro Líquido (mensal)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Indicadores!B30</c:f>
              <c:strCache>
                <c:ptCount val="1"/>
                <c:pt idx="0">
                  <c:v>Receita Líquida</c:v>
                </c:pt>
              </c:strCache>
            </c:strRef>
          </c:tx>
          <c:spPr>
            <a:solidFill>
              <a:srgbClr val="202a44"/>
            </a:solidFill>
            <a:ln w="28080">
              <a:solidFill>
                <a:srgbClr val="202a44"/>
              </a:solidFill>
              <a:round/>
            </a:ln>
          </c:spPr>
          <c:marker>
            <c:symbol val="circle"/>
            <c:size val="6"/>
            <c:spPr>
              <a:solidFill>
                <a:srgbClr val="202a4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Indicadores!$C$29:$N$29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Indicadores!$C$30:$N$30</c:f>
              <c:numCache>
                <c:formatCode>"R$ "#,##0.00</c:formatCode>
                <c:ptCount val="12"/>
                <c:pt idx="0">
                  <c:v>73830</c:v>
                </c:pt>
                <c:pt idx="1">
                  <c:v>70927.5</c:v>
                </c:pt>
                <c:pt idx="2">
                  <c:v>81765</c:v>
                </c:pt>
                <c:pt idx="3">
                  <c:v>79420</c:v>
                </c:pt>
                <c:pt idx="4">
                  <c:v>86082.5</c:v>
                </c:pt>
                <c:pt idx="5">
                  <c:v>88785</c:v>
                </c:pt>
                <c:pt idx="6">
                  <c:v>87355</c:v>
                </c:pt>
                <c:pt idx="7">
                  <c:v>92645</c:v>
                </c:pt>
                <c:pt idx="8">
                  <c:v>91622.5</c:v>
                </c:pt>
                <c:pt idx="9">
                  <c:v>96820</c:v>
                </c:pt>
                <c:pt idx="10">
                  <c:v>103325</c:v>
                </c:pt>
                <c:pt idx="11">
                  <c:v>118180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Indicadores!B31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ad965f"/>
            </a:solidFill>
            <a:ln w="28080">
              <a:solidFill>
                <a:srgbClr val="ad965f"/>
              </a:solidFill>
              <a:round/>
            </a:ln>
          </c:spPr>
          <c:marker>
            <c:symbol val="circle"/>
            <c:size val="6"/>
            <c:spPr>
              <a:solidFill>
                <a:srgbClr val="ad96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Indicadores!$C$29:$N$29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Indicadores!$C$31:$N$31</c:f>
              <c:numCache>
                <c:formatCode>"R$ "#,##0.00</c:formatCode>
                <c:ptCount val="12"/>
                <c:pt idx="0">
                  <c:v>4063</c:v>
                </c:pt>
                <c:pt idx="1">
                  <c:v>3329.88</c:v>
                </c:pt>
                <c:pt idx="2">
                  <c:v>5631.25</c:v>
                </c:pt>
                <c:pt idx="3">
                  <c:v>5074.5</c:v>
                </c:pt>
                <c:pt idx="4">
                  <c:v>7312.12</c:v>
                </c:pt>
                <c:pt idx="5">
                  <c:v>7832.75</c:v>
                </c:pt>
                <c:pt idx="6">
                  <c:v>6974.25</c:v>
                </c:pt>
                <c:pt idx="7">
                  <c:v>9099.25</c:v>
                </c:pt>
                <c:pt idx="8">
                  <c:v>8799.62</c:v>
                </c:pt>
                <c:pt idx="9">
                  <c:v>9112</c:v>
                </c:pt>
                <c:pt idx="10">
                  <c:v>10748.25</c:v>
                </c:pt>
                <c:pt idx="11">
                  <c:v>9715.5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058133"/>
        <c:axId val="38386777"/>
      </c:lineChart>
      <c:catAx>
        <c:axId val="31058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86777"/>
        <c:crosses val="autoZero"/>
        <c:auto val="1"/>
        <c:lblAlgn val="ctr"/>
        <c:lblOffset val="100"/>
        <c:noMultiLvlLbl val="0"/>
      </c:catAx>
      <c:valAx>
        <c:axId val="383867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581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0</xdr:rowOff>
    </xdr:from>
    <xdr:to>
      <xdr:col>7</xdr:col>
      <xdr:colOff>604080</xdr:colOff>
      <xdr:row>52</xdr:row>
      <xdr:rowOff>1080</xdr:rowOff>
    </xdr:to>
    <xdr:graphicFrame>
      <xdr:nvGraphicFramePr>
        <xdr:cNvPr id="0" name="Chart 1"/>
        <xdr:cNvGraphicFramePr/>
      </xdr:nvGraphicFramePr>
      <xdr:xfrm>
        <a:off x="211320" y="71629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48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31.5" hidden="false" customHeight="true" outlineLevel="0" collapsed="false">
      <c r="B9" s="4" t="s">
        <v>5</v>
      </c>
    </row>
    <row r="10" customFormat="false" ht="31.5" hidden="false" customHeight="true" outlineLevel="0" collapsed="false">
      <c r="B10" s="4" t="s">
        <v>6</v>
      </c>
    </row>
    <row r="11" customFormat="false" ht="31.5" hidden="false" customHeight="true" outlineLevel="0" collapsed="false">
      <c r="B11" s="4" t="s">
        <v>7</v>
      </c>
    </row>
    <row r="12" customFormat="false" ht="31.5" hidden="false" customHeight="true" outlineLevel="0" collapsed="false">
      <c r="B12" s="4" t="s">
        <v>8</v>
      </c>
    </row>
    <row r="13" customFormat="false" ht="31.5" hidden="false" customHeight="true" outlineLevel="0" collapsed="false">
      <c r="B13" s="4" t="s">
        <v>9</v>
      </c>
    </row>
    <row r="14" customFormat="false" ht="31.5" hidden="false" customHeight="true" outlineLevel="0" collapsed="false">
      <c r="B14" s="4" t="s">
        <v>10</v>
      </c>
    </row>
    <row r="15" customFormat="false" ht="31.5" hidden="false" customHeight="true" outlineLevel="0" collapsed="false">
      <c r="B15" s="4" t="s">
        <v>11</v>
      </c>
    </row>
    <row r="16" customFormat="false" ht="31.5" hidden="false" customHeight="true" outlineLevel="0" collapsed="false">
      <c r="B16" s="4" t="s">
        <v>12</v>
      </c>
    </row>
    <row r="18" customFormat="false" ht="16.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7" t="s">
        <v>16</v>
      </c>
    </row>
    <row r="23" customFormat="false" ht="30" hidden="false" customHeight="true" outlineLevel="0" collapsed="false">
      <c r="B23" s="8" t="s">
        <v>17</v>
      </c>
    </row>
    <row r="25" customFormat="false" ht="15" hidden="false" customHeight="false" outlineLevel="0" collapsed="false">
      <c r="B25" s="9" t="s">
        <v>18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4"/>
    <col collapsed="false" customWidth="true" hidden="false" outlineLevel="0" max="14" min="14" style="0" width="16"/>
    <col collapsed="false" customWidth="true" hidden="false" outlineLevel="0" max="16" min="15" style="0" width="14"/>
  </cols>
  <sheetData>
    <row r="1" customFormat="false" ht="27.75" hidden="false" customHeight="true" outlineLevel="0" collapsed="false">
      <c r="A1" s="10" t="s">
        <v>2</v>
      </c>
    </row>
    <row r="2" customFormat="false" ht="15" hidden="false" customHeight="false" outlineLevel="0" collapsed="false">
      <c r="A2" s="11" t="s">
        <v>19</v>
      </c>
    </row>
    <row r="4" customFormat="false" ht="15" hidden="false" customHeight="false" outlineLevel="0" collapsed="false">
      <c r="A4" s="12" t="s">
        <v>20</v>
      </c>
      <c r="B4" s="13" t="n">
        <v>2026</v>
      </c>
      <c r="C4" s="12" t="s">
        <v>21</v>
      </c>
      <c r="D4" s="14" t="s">
        <v>22</v>
      </c>
      <c r="E4" s="14"/>
      <c r="F4" s="14"/>
      <c r="G4" s="14"/>
    </row>
    <row r="6" customFormat="false" ht="21.75" hidden="false" customHeight="true" outlineLevel="0" collapsed="false">
      <c r="A6" s="15" t="s">
        <v>23</v>
      </c>
      <c r="B6" s="15" t="s">
        <v>24</v>
      </c>
      <c r="C6" s="15" t="s">
        <v>25</v>
      </c>
      <c r="D6" s="15" t="s">
        <v>26</v>
      </c>
      <c r="E6" s="15" t="s">
        <v>27</v>
      </c>
      <c r="F6" s="15" t="s">
        <v>28</v>
      </c>
      <c r="G6" s="15" t="s">
        <v>29</v>
      </c>
      <c r="H6" s="15" t="s">
        <v>30</v>
      </c>
      <c r="I6" s="15" t="s">
        <v>31</v>
      </c>
      <c r="J6" s="15" t="s">
        <v>32</v>
      </c>
      <c r="K6" s="15" t="s">
        <v>33</v>
      </c>
      <c r="L6" s="15" t="s">
        <v>34</v>
      </c>
      <c r="M6" s="15" t="s">
        <v>35</v>
      </c>
      <c r="N6" s="15" t="s">
        <v>36</v>
      </c>
      <c r="O6" s="15" t="s">
        <v>37</v>
      </c>
      <c r="P6" s="15" t="s">
        <v>38</v>
      </c>
    </row>
    <row r="7" customFormat="false" ht="15" hidden="false" customHeight="false" outlineLevel="0" collapsed="false">
      <c r="A7" s="16" t="s">
        <v>39</v>
      </c>
      <c r="B7" s="17" t="n">
        <v>82000</v>
      </c>
      <c r="C7" s="17" t="n">
        <v>78500</v>
      </c>
      <c r="D7" s="17" t="n">
        <v>91000</v>
      </c>
      <c r="E7" s="17" t="n">
        <v>88000</v>
      </c>
      <c r="F7" s="17" t="n">
        <v>95500</v>
      </c>
      <c r="G7" s="17" t="n">
        <v>99000</v>
      </c>
      <c r="H7" s="17" t="n">
        <v>97000</v>
      </c>
      <c r="I7" s="17" t="n">
        <v>103000</v>
      </c>
      <c r="J7" s="17" t="n">
        <v>101500</v>
      </c>
      <c r="K7" s="17" t="n">
        <v>108000</v>
      </c>
      <c r="L7" s="17" t="n">
        <v>115000</v>
      </c>
      <c r="M7" s="17" t="n">
        <v>132000</v>
      </c>
      <c r="N7" s="18" t="n">
        <f aca="false">SUM(B7:M7)</f>
        <v>1190500</v>
      </c>
      <c r="O7" s="19" t="n">
        <f aca="false">N7/12</f>
        <v>99208.3333333333</v>
      </c>
      <c r="P7" s="20" t="n">
        <f aca="false">IFERROR(N7/N$11,0)</f>
        <v>1.11182970934128</v>
      </c>
    </row>
    <row r="8" customFormat="false" ht="15" hidden="false" customHeight="false" outlineLevel="0" collapsed="false">
      <c r="A8" s="21" t="s">
        <v>40</v>
      </c>
      <c r="B8" s="18" t="n">
        <f aca="false">B9+B10</f>
        <v>8170</v>
      </c>
      <c r="C8" s="18" t="n">
        <f aca="false">C9+C10</f>
        <v>7572.5</v>
      </c>
      <c r="D8" s="18" t="n">
        <f aca="false">D9+D10</f>
        <v>9235</v>
      </c>
      <c r="E8" s="18" t="n">
        <f aca="false">E9+E10</f>
        <v>8580</v>
      </c>
      <c r="F8" s="18" t="n">
        <f aca="false">F9+F10</f>
        <v>9417.5</v>
      </c>
      <c r="G8" s="18" t="n">
        <f aca="false">G9+G10</f>
        <v>10215</v>
      </c>
      <c r="H8" s="18" t="n">
        <f aca="false">H9+H10</f>
        <v>9645</v>
      </c>
      <c r="I8" s="18" t="n">
        <f aca="false">I9+I10</f>
        <v>10355</v>
      </c>
      <c r="J8" s="18" t="n">
        <f aca="false">J9+J10</f>
        <v>9877.5</v>
      </c>
      <c r="K8" s="18" t="n">
        <f aca="false">K9+K10</f>
        <v>11180</v>
      </c>
      <c r="L8" s="18" t="n">
        <f aca="false">L9+L10</f>
        <v>11675</v>
      </c>
      <c r="M8" s="18" t="n">
        <f aca="false">M9+M10</f>
        <v>13820</v>
      </c>
      <c r="N8" s="18" t="n">
        <f aca="false">SUM(B8:M8)</f>
        <v>119742.5</v>
      </c>
      <c r="O8" s="18" t="n">
        <f aca="false">N8/12</f>
        <v>9978.54166666667</v>
      </c>
      <c r="P8" s="22" t="n">
        <f aca="false">IFERROR(N8/N$11,0)</f>
        <v>0.111829709341284</v>
      </c>
    </row>
    <row r="9" customFormat="false" ht="15" hidden="false" customHeight="false" outlineLevel="0" collapsed="false">
      <c r="A9" s="23" t="s">
        <v>41</v>
      </c>
      <c r="B9" s="17" t="n">
        <v>6970</v>
      </c>
      <c r="C9" s="17" t="n">
        <v>6672.5</v>
      </c>
      <c r="D9" s="17" t="n">
        <v>7735</v>
      </c>
      <c r="E9" s="17" t="n">
        <v>7480</v>
      </c>
      <c r="F9" s="17" t="n">
        <v>8117.5</v>
      </c>
      <c r="G9" s="17" t="n">
        <v>8415</v>
      </c>
      <c r="H9" s="17" t="n">
        <v>8245</v>
      </c>
      <c r="I9" s="17" t="n">
        <v>8755</v>
      </c>
      <c r="J9" s="17" t="n">
        <v>8627.5</v>
      </c>
      <c r="K9" s="17" t="n">
        <v>9180</v>
      </c>
      <c r="L9" s="17" t="n">
        <v>9775</v>
      </c>
      <c r="M9" s="17" t="n">
        <v>11220</v>
      </c>
      <c r="N9" s="18" t="n">
        <f aca="false">SUM(B9:M9)</f>
        <v>101192.5</v>
      </c>
      <c r="O9" s="19" t="n">
        <f aca="false">N9/12</f>
        <v>8432.70833333333</v>
      </c>
      <c r="P9" s="20" t="n">
        <f aca="false">IFERROR(N9/N$11,0)</f>
        <v>0.0945055252940091</v>
      </c>
    </row>
    <row r="10" customFormat="false" ht="15" hidden="false" customHeight="false" outlineLevel="0" collapsed="false">
      <c r="A10" s="23" t="s">
        <v>42</v>
      </c>
      <c r="B10" s="17" t="n">
        <v>1200</v>
      </c>
      <c r="C10" s="17" t="n">
        <v>900</v>
      </c>
      <c r="D10" s="17" t="n">
        <v>1500</v>
      </c>
      <c r="E10" s="17" t="n">
        <v>1100</v>
      </c>
      <c r="F10" s="17" t="n">
        <v>1300</v>
      </c>
      <c r="G10" s="17" t="n">
        <v>1800</v>
      </c>
      <c r="H10" s="17" t="n">
        <v>1400</v>
      </c>
      <c r="I10" s="17" t="n">
        <v>1600</v>
      </c>
      <c r="J10" s="17" t="n">
        <v>1250</v>
      </c>
      <c r="K10" s="17" t="n">
        <v>2000</v>
      </c>
      <c r="L10" s="17" t="n">
        <v>1900</v>
      </c>
      <c r="M10" s="17" t="n">
        <v>2600</v>
      </c>
      <c r="N10" s="18" t="n">
        <f aca="false">SUM(B10:M10)</f>
        <v>18550</v>
      </c>
      <c r="O10" s="19" t="n">
        <f aca="false">N10/12</f>
        <v>1545.83333333333</v>
      </c>
      <c r="P10" s="20" t="n">
        <f aca="false">IFERROR(N10/N$11,0)</f>
        <v>0.0173241840472749</v>
      </c>
    </row>
    <row r="11" customFormat="false" ht="15" hidden="false" customHeight="false" outlineLevel="0" collapsed="false">
      <c r="A11" s="21" t="s">
        <v>43</v>
      </c>
      <c r="B11" s="18" t="n">
        <f aca="false">B7-B8</f>
        <v>73830</v>
      </c>
      <c r="C11" s="18" t="n">
        <f aca="false">C7-C8</f>
        <v>70927.5</v>
      </c>
      <c r="D11" s="18" t="n">
        <f aca="false">D7-D8</f>
        <v>81765</v>
      </c>
      <c r="E11" s="18" t="n">
        <f aca="false">E7-E8</f>
        <v>79420</v>
      </c>
      <c r="F11" s="18" t="n">
        <f aca="false">F7-F8</f>
        <v>86082.5</v>
      </c>
      <c r="G11" s="18" t="n">
        <f aca="false">G7-G8</f>
        <v>88785</v>
      </c>
      <c r="H11" s="18" t="n">
        <f aca="false">H7-H8</f>
        <v>87355</v>
      </c>
      <c r="I11" s="18" t="n">
        <f aca="false">I7-I8</f>
        <v>92645</v>
      </c>
      <c r="J11" s="18" t="n">
        <f aca="false">J7-J8</f>
        <v>91622.5</v>
      </c>
      <c r="K11" s="18" t="n">
        <f aca="false">K7-K8</f>
        <v>96820</v>
      </c>
      <c r="L11" s="18" t="n">
        <f aca="false">L7-L8</f>
        <v>103325</v>
      </c>
      <c r="M11" s="18" t="n">
        <f aca="false">M7-M8</f>
        <v>118180</v>
      </c>
      <c r="N11" s="18" t="n">
        <f aca="false">SUM(B11:M11)</f>
        <v>1070757.5</v>
      </c>
      <c r="O11" s="18" t="n">
        <f aca="false">N11/12</f>
        <v>89229.7916666667</v>
      </c>
      <c r="P11" s="22" t="n">
        <f aca="false">IFERROR(N11/N$11,0)</f>
        <v>1</v>
      </c>
    </row>
    <row r="12" customFormat="false" ht="15" hidden="false" customHeight="false" outlineLevel="0" collapsed="false">
      <c r="A12" s="16" t="s">
        <v>44</v>
      </c>
      <c r="B12" s="17" t="n">
        <v>34000</v>
      </c>
      <c r="C12" s="17" t="n">
        <v>32800</v>
      </c>
      <c r="D12" s="17" t="n">
        <v>38500</v>
      </c>
      <c r="E12" s="17" t="n">
        <v>37000</v>
      </c>
      <c r="F12" s="17" t="n">
        <v>40200</v>
      </c>
      <c r="G12" s="17" t="n">
        <v>41500</v>
      </c>
      <c r="H12" s="17" t="n">
        <v>40800</v>
      </c>
      <c r="I12" s="17" t="n">
        <v>43500</v>
      </c>
      <c r="J12" s="17" t="n">
        <v>42600</v>
      </c>
      <c r="K12" s="17" t="n">
        <v>45700</v>
      </c>
      <c r="L12" s="17" t="n">
        <v>48900</v>
      </c>
      <c r="M12" s="17" t="n">
        <v>56000</v>
      </c>
      <c r="N12" s="18" t="n">
        <f aca="false">SUM(B12:M12)</f>
        <v>501500</v>
      </c>
      <c r="O12" s="19" t="n">
        <f aca="false">N12/12</f>
        <v>41791.6666666667</v>
      </c>
      <c r="P12" s="20" t="n">
        <f aca="false">IFERROR(N12/N$11,0)</f>
        <v>0.468360016156786</v>
      </c>
    </row>
    <row r="13" customFormat="false" ht="15" hidden="false" customHeight="false" outlineLevel="0" collapsed="false">
      <c r="A13" s="21" t="s">
        <v>45</v>
      </c>
      <c r="B13" s="18" t="n">
        <f aca="false">B11-B12</f>
        <v>39830</v>
      </c>
      <c r="C13" s="18" t="n">
        <f aca="false">C11-C12</f>
        <v>38127.5</v>
      </c>
      <c r="D13" s="18" t="n">
        <f aca="false">D11-D12</f>
        <v>43265</v>
      </c>
      <c r="E13" s="18" t="n">
        <f aca="false">E11-E12</f>
        <v>42420</v>
      </c>
      <c r="F13" s="18" t="n">
        <f aca="false">F11-F12</f>
        <v>45882.5</v>
      </c>
      <c r="G13" s="18" t="n">
        <f aca="false">G11-G12</f>
        <v>47285</v>
      </c>
      <c r="H13" s="18" t="n">
        <f aca="false">H11-H12</f>
        <v>46555</v>
      </c>
      <c r="I13" s="18" t="n">
        <f aca="false">I11-I12</f>
        <v>49145</v>
      </c>
      <c r="J13" s="18" t="n">
        <f aca="false">J11-J12</f>
        <v>49022.5</v>
      </c>
      <c r="K13" s="18" t="n">
        <f aca="false">K11-K12</f>
        <v>51120</v>
      </c>
      <c r="L13" s="18" t="n">
        <f aca="false">L11-L12</f>
        <v>54425</v>
      </c>
      <c r="M13" s="18" t="n">
        <f aca="false">M11-M12</f>
        <v>62180</v>
      </c>
      <c r="N13" s="18" t="n">
        <f aca="false">SUM(B13:M13)</f>
        <v>569257.5</v>
      </c>
      <c r="O13" s="18" t="n">
        <f aca="false">N13/12</f>
        <v>47438.125</v>
      </c>
      <c r="P13" s="22" t="n">
        <f aca="false">IFERROR(N13/N$11,0)</f>
        <v>0.531639983843214</v>
      </c>
    </row>
    <row r="14" customFormat="false" ht="15" hidden="false" customHeight="false" outlineLevel="0" collapsed="false">
      <c r="A14" s="24" t="s">
        <v>46</v>
      </c>
      <c r="B14" s="25" t="n">
        <f aca="false">IFERROR(B13/B11,0)</f>
        <v>0.539482595151023</v>
      </c>
      <c r="C14" s="25" t="n">
        <f aca="false">IFERROR(C13/C11,0)</f>
        <v>0.537555955024497</v>
      </c>
      <c r="D14" s="25" t="n">
        <f aca="false">IFERROR(D13/D11,0)</f>
        <v>0.529138384394301</v>
      </c>
      <c r="E14" s="25" t="n">
        <f aca="false">IFERROR(E13/E11,0)</f>
        <v>0.534122387307983</v>
      </c>
      <c r="F14" s="25" t="n">
        <f aca="false">IFERROR(F13/F11,0)</f>
        <v>0.533006127842477</v>
      </c>
      <c r="G14" s="25" t="n">
        <f aca="false">IFERROR(G13/G11,0)</f>
        <v>0.532578701357211</v>
      </c>
      <c r="H14" s="25" t="n">
        <f aca="false">IFERROR(H13/H11,0)</f>
        <v>0.532940301070345</v>
      </c>
      <c r="I14" s="25" t="n">
        <f aca="false">IFERROR(I13/I11,0)</f>
        <v>0.530465756381888</v>
      </c>
      <c r="J14" s="25" t="n">
        <f aca="false">IFERROR(J13/J11,0)</f>
        <v>0.535048705285274</v>
      </c>
      <c r="K14" s="25" t="n">
        <f aca="false">IFERROR(K13/K11,0)</f>
        <v>0.527990084693245</v>
      </c>
      <c r="L14" s="25" t="n">
        <f aca="false">IFERROR(L13/L11,0)</f>
        <v>0.52673602709896</v>
      </c>
      <c r="M14" s="25" t="n">
        <f aca="false">IFERROR(M13/M11,0)</f>
        <v>0.526146556100863</v>
      </c>
      <c r="N14" s="22" t="n">
        <f aca="false">IFERROR(N13/N11,0)</f>
        <v>0.531639983843214</v>
      </c>
      <c r="O14" s="20" t="n">
        <f aca="false">IFERROR(AVERAGE(B14:M14),0)</f>
        <v>0.532100965142339</v>
      </c>
      <c r="P14" s="6"/>
    </row>
    <row r="15" customFormat="false" ht="15" hidden="false" customHeight="false" outlineLevel="0" collapsed="false">
      <c r="A15" s="21" t="s">
        <v>47</v>
      </c>
      <c r="B15" s="18" t="n">
        <f aca="false">SUM(B16:B20)</f>
        <v>32900</v>
      </c>
      <c r="C15" s="18" t="n">
        <f aca="false">SUM(C16:C20)</f>
        <v>32100</v>
      </c>
      <c r="D15" s="18" t="n">
        <f aca="false">SUM(D16:D20)</f>
        <v>34300</v>
      </c>
      <c r="E15" s="18" t="n">
        <f aca="false">SUM(E16:E20)</f>
        <v>34300</v>
      </c>
      <c r="F15" s="18" t="n">
        <f aca="false">SUM(F16:F20)</f>
        <v>35200</v>
      </c>
      <c r="G15" s="18" t="n">
        <f aca="false">SUM(G16:G20)</f>
        <v>35900</v>
      </c>
      <c r="H15" s="18" t="n">
        <f aca="false">SUM(H16:H20)</f>
        <v>36150</v>
      </c>
      <c r="I15" s="18" t="n">
        <f aca="false">SUM(I16:I20)</f>
        <v>36400</v>
      </c>
      <c r="J15" s="18" t="n">
        <f aca="false">SUM(J16:J20)</f>
        <v>36600</v>
      </c>
      <c r="K15" s="18" t="n">
        <f aca="false">SUM(K16:K20)</f>
        <v>38300</v>
      </c>
      <c r="L15" s="18" t="n">
        <f aca="false">SUM(L16:L20)</f>
        <v>39500</v>
      </c>
      <c r="M15" s="18" t="n">
        <f aca="false">SUM(M16:M20)</f>
        <v>48400</v>
      </c>
      <c r="N15" s="18" t="n">
        <f aca="false">SUM(B15:M15)</f>
        <v>440050</v>
      </c>
      <c r="O15" s="18" t="n">
        <f aca="false">N15/12</f>
        <v>36670.8333333333</v>
      </c>
      <c r="P15" s="22" t="n">
        <f aca="false">IFERROR(N15/N$11,0)</f>
        <v>0.410970738005571</v>
      </c>
    </row>
    <row r="16" customFormat="false" ht="15" hidden="false" customHeight="false" outlineLevel="0" collapsed="false">
      <c r="A16" s="23" t="s">
        <v>48</v>
      </c>
      <c r="B16" s="17" t="n">
        <v>3600</v>
      </c>
      <c r="C16" s="17" t="n">
        <v>3400</v>
      </c>
      <c r="D16" s="17" t="n">
        <v>4000</v>
      </c>
      <c r="E16" s="17" t="n">
        <v>3900</v>
      </c>
      <c r="F16" s="17" t="n">
        <v>4200</v>
      </c>
      <c r="G16" s="17" t="n">
        <v>4300</v>
      </c>
      <c r="H16" s="17" t="n">
        <v>4250</v>
      </c>
      <c r="I16" s="17" t="n">
        <v>4500</v>
      </c>
      <c r="J16" s="17" t="n">
        <v>4450</v>
      </c>
      <c r="K16" s="17" t="n">
        <v>4800</v>
      </c>
      <c r="L16" s="17" t="n">
        <v>5100</v>
      </c>
      <c r="M16" s="17" t="n">
        <v>5800</v>
      </c>
      <c r="N16" s="18" t="n">
        <f aca="false">SUM(B16:M16)</f>
        <v>52300</v>
      </c>
      <c r="O16" s="19" t="n">
        <f aca="false">N16/12</f>
        <v>4358.33333333333</v>
      </c>
      <c r="P16" s="20" t="n">
        <f aca="false">IFERROR(N16/N$11,0)</f>
        <v>0.048843925912263</v>
      </c>
    </row>
    <row r="17" customFormat="false" ht="15" hidden="false" customHeight="false" outlineLevel="0" collapsed="false">
      <c r="A17" s="23" t="s">
        <v>49</v>
      </c>
      <c r="B17" s="17" t="n">
        <v>6500</v>
      </c>
      <c r="C17" s="17" t="n">
        <v>6500</v>
      </c>
      <c r="D17" s="17" t="n">
        <v>6700</v>
      </c>
      <c r="E17" s="17" t="n">
        <v>6700</v>
      </c>
      <c r="F17" s="17" t="n">
        <v>6700</v>
      </c>
      <c r="G17" s="17" t="n">
        <v>6900</v>
      </c>
      <c r="H17" s="17" t="n">
        <v>6900</v>
      </c>
      <c r="I17" s="17" t="n">
        <v>6900</v>
      </c>
      <c r="J17" s="17" t="n">
        <v>7100</v>
      </c>
      <c r="K17" s="17" t="n">
        <v>7100</v>
      </c>
      <c r="L17" s="17" t="n">
        <v>7100</v>
      </c>
      <c r="M17" s="17" t="n">
        <v>7300</v>
      </c>
      <c r="N17" s="18" t="n">
        <f aca="false">SUM(B17:M17)</f>
        <v>82400</v>
      </c>
      <c r="O17" s="19" t="n">
        <f aca="false">N17/12</f>
        <v>6866.66666666667</v>
      </c>
      <c r="P17" s="20" t="n">
        <f aca="false">IFERROR(N17/N$11,0)</f>
        <v>0.076954866064445</v>
      </c>
    </row>
    <row r="18" customFormat="false" ht="15" hidden="false" customHeight="false" outlineLevel="0" collapsed="false">
      <c r="A18" s="23" t="s">
        <v>50</v>
      </c>
      <c r="B18" s="17" t="n">
        <v>18500</v>
      </c>
      <c r="C18" s="17" t="n">
        <v>18500</v>
      </c>
      <c r="D18" s="17" t="n">
        <v>18500</v>
      </c>
      <c r="E18" s="17" t="n">
        <v>19200</v>
      </c>
      <c r="F18" s="17" t="n">
        <v>19200</v>
      </c>
      <c r="G18" s="17" t="n">
        <v>19200</v>
      </c>
      <c r="H18" s="17" t="n">
        <v>19800</v>
      </c>
      <c r="I18" s="17" t="n">
        <v>19800</v>
      </c>
      <c r="J18" s="17" t="n">
        <v>19800</v>
      </c>
      <c r="K18" s="17" t="n">
        <v>20500</v>
      </c>
      <c r="L18" s="17" t="n">
        <v>20500</v>
      </c>
      <c r="M18" s="17" t="n">
        <v>27000</v>
      </c>
      <c r="N18" s="18" t="n">
        <f aca="false">SUM(B18:M18)</f>
        <v>240500</v>
      </c>
      <c r="O18" s="19" t="n">
        <f aca="false">N18/12</f>
        <v>20041.6666666667</v>
      </c>
      <c r="P18" s="20" t="n">
        <f aca="false">IFERROR(N18/N$11,0)</f>
        <v>0.224607345734212</v>
      </c>
    </row>
    <row r="19" customFormat="false" ht="15" hidden="false" customHeight="false" outlineLevel="0" collapsed="false">
      <c r="A19" s="23" t="s">
        <v>51</v>
      </c>
      <c r="B19" s="17" t="n">
        <v>2500</v>
      </c>
      <c r="C19" s="17" t="n">
        <v>2200</v>
      </c>
      <c r="D19" s="17" t="n">
        <v>3000</v>
      </c>
      <c r="E19" s="17" t="n">
        <v>2800</v>
      </c>
      <c r="F19" s="17" t="n">
        <v>3200</v>
      </c>
      <c r="G19" s="17" t="n">
        <v>3500</v>
      </c>
      <c r="H19" s="17" t="n">
        <v>3000</v>
      </c>
      <c r="I19" s="17" t="n">
        <v>3400</v>
      </c>
      <c r="J19" s="17" t="n">
        <v>3300</v>
      </c>
      <c r="K19" s="17" t="n">
        <v>3800</v>
      </c>
      <c r="L19" s="17" t="n">
        <v>4500</v>
      </c>
      <c r="M19" s="17" t="n">
        <v>5500</v>
      </c>
      <c r="N19" s="18" t="n">
        <f aca="false">SUM(B19:M19)</f>
        <v>40700</v>
      </c>
      <c r="O19" s="19" t="n">
        <f aca="false">N19/12</f>
        <v>3391.66666666667</v>
      </c>
      <c r="P19" s="20" t="n">
        <f aca="false">IFERROR(N19/N$11,0)</f>
        <v>0.038010473893482</v>
      </c>
    </row>
    <row r="20" customFormat="false" ht="15" hidden="false" customHeight="false" outlineLevel="0" collapsed="false">
      <c r="A20" s="23" t="s">
        <v>52</v>
      </c>
      <c r="B20" s="17" t="n">
        <v>1800</v>
      </c>
      <c r="C20" s="17" t="n">
        <v>1500</v>
      </c>
      <c r="D20" s="17" t="n">
        <v>2100</v>
      </c>
      <c r="E20" s="17" t="n">
        <v>1700</v>
      </c>
      <c r="F20" s="17" t="n">
        <v>1900</v>
      </c>
      <c r="G20" s="17" t="n">
        <v>2000</v>
      </c>
      <c r="H20" s="17" t="n">
        <v>2200</v>
      </c>
      <c r="I20" s="17" t="n">
        <v>1800</v>
      </c>
      <c r="J20" s="17" t="n">
        <v>1950</v>
      </c>
      <c r="K20" s="17" t="n">
        <v>2100</v>
      </c>
      <c r="L20" s="17" t="n">
        <v>2300</v>
      </c>
      <c r="M20" s="17" t="n">
        <v>2800</v>
      </c>
      <c r="N20" s="18" t="n">
        <f aca="false">SUM(B20:M20)</f>
        <v>24150</v>
      </c>
      <c r="O20" s="19" t="n">
        <f aca="false">N20/12</f>
        <v>2012.5</v>
      </c>
      <c r="P20" s="20" t="n">
        <f aca="false">IFERROR(N20/N$11,0)</f>
        <v>0.0225541264011693</v>
      </c>
    </row>
    <row r="21" customFormat="false" ht="15" hidden="false" customHeight="false" outlineLevel="0" collapsed="false">
      <c r="A21" s="21" t="s">
        <v>53</v>
      </c>
      <c r="B21" s="18" t="n">
        <f aca="false">B13-B15</f>
        <v>6930</v>
      </c>
      <c r="C21" s="18" t="n">
        <f aca="false">C13-C15</f>
        <v>6027.5</v>
      </c>
      <c r="D21" s="18" t="n">
        <f aca="false">D13-D15</f>
        <v>8965</v>
      </c>
      <c r="E21" s="18" t="n">
        <f aca="false">E13-E15</f>
        <v>8120</v>
      </c>
      <c r="F21" s="18" t="n">
        <f aca="false">F13-F15</f>
        <v>10682.5</v>
      </c>
      <c r="G21" s="18" t="n">
        <f aca="false">G13-G15</f>
        <v>11385</v>
      </c>
      <c r="H21" s="18" t="n">
        <f aca="false">H13-H15</f>
        <v>10405</v>
      </c>
      <c r="I21" s="18" t="n">
        <f aca="false">I13-I15</f>
        <v>12745</v>
      </c>
      <c r="J21" s="18" t="n">
        <f aca="false">J13-J15</f>
        <v>12422.5</v>
      </c>
      <c r="K21" s="18" t="n">
        <f aca="false">K13-K15</f>
        <v>12820</v>
      </c>
      <c r="L21" s="18" t="n">
        <f aca="false">L13-L15</f>
        <v>14925</v>
      </c>
      <c r="M21" s="18" t="n">
        <f aca="false">M13-M15</f>
        <v>13780</v>
      </c>
      <c r="N21" s="18" t="n">
        <f aca="false">SUM(B21:M21)</f>
        <v>129207.5</v>
      </c>
      <c r="O21" s="18" t="n">
        <f aca="false">N21/12</f>
        <v>10767.2916666667</v>
      </c>
      <c r="P21" s="22" t="n">
        <f aca="false">IFERROR(N21/N$11,0)</f>
        <v>0.120669245837643</v>
      </c>
    </row>
    <row r="22" customFormat="false" ht="15" hidden="false" customHeight="false" outlineLevel="0" collapsed="false">
      <c r="A22" s="24" t="s">
        <v>54</v>
      </c>
      <c r="B22" s="25" t="n">
        <f aca="false">IFERROR(B21/B11,0)</f>
        <v>0.0938642828118651</v>
      </c>
      <c r="C22" s="25" t="n">
        <f aca="false">IFERROR(C21/C11,0)</f>
        <v>0.0849811427161538</v>
      </c>
      <c r="D22" s="25" t="n">
        <f aca="false">IFERROR(D21/D11,0)</f>
        <v>0.109643490491041</v>
      </c>
      <c r="E22" s="25" t="n">
        <f aca="false">IFERROR(E21/E11,0)</f>
        <v>0.102241249055653</v>
      </c>
      <c r="F22" s="25" t="n">
        <f aca="false">IFERROR(F21/F11,0)</f>
        <v>0.124096070629919</v>
      </c>
      <c r="G22" s="25" t="n">
        <f aca="false">IFERROR(G21/G11,0)</f>
        <v>0.128231120121642</v>
      </c>
      <c r="H22" s="25" t="n">
        <f aca="false">IFERROR(H21/H11,0)</f>
        <v>0.119111670768702</v>
      </c>
      <c r="I22" s="25" t="n">
        <f aca="false">IFERROR(I21/I11,0)</f>
        <v>0.137568136434778</v>
      </c>
      <c r="J22" s="25" t="n">
        <f aca="false">IFERROR(J21/J11,0)</f>
        <v>0.135583508417692</v>
      </c>
      <c r="K22" s="25" t="n">
        <f aca="false">IFERROR(K21/K11,0)</f>
        <v>0.132410658954761</v>
      </c>
      <c r="L22" s="25" t="n">
        <f aca="false">IFERROR(L21/L11,0)</f>
        <v>0.144447132833293</v>
      </c>
      <c r="M22" s="25" t="n">
        <f aca="false">IFERROR(M21/M11,0)</f>
        <v>0.116601793873752</v>
      </c>
      <c r="N22" s="22" t="n">
        <f aca="false">IFERROR(N21/N11,0)</f>
        <v>0.120669245837643</v>
      </c>
      <c r="O22" s="20" t="n">
        <f aca="false">IFERROR(AVERAGE(B22:M22),0)</f>
        <v>0.119065021425771</v>
      </c>
      <c r="P22" s="6"/>
    </row>
    <row r="23" customFormat="false" ht="15" hidden="false" customHeight="false" outlineLevel="0" collapsed="false">
      <c r="A23" s="16" t="s">
        <v>55</v>
      </c>
      <c r="B23" s="17" t="n">
        <v>1500</v>
      </c>
      <c r="C23" s="17" t="n">
        <v>1500</v>
      </c>
      <c r="D23" s="17" t="n">
        <v>1500</v>
      </c>
      <c r="E23" s="17" t="n">
        <v>1500</v>
      </c>
      <c r="F23" s="17" t="n">
        <v>1500</v>
      </c>
      <c r="G23" s="17" t="n">
        <v>1500</v>
      </c>
      <c r="H23" s="17" t="n">
        <v>1500</v>
      </c>
      <c r="I23" s="17" t="n">
        <v>1500</v>
      </c>
      <c r="J23" s="17" t="n">
        <v>1500</v>
      </c>
      <c r="K23" s="17" t="n">
        <v>1500</v>
      </c>
      <c r="L23" s="17" t="n">
        <v>1500</v>
      </c>
      <c r="M23" s="17" t="n">
        <v>1500</v>
      </c>
      <c r="N23" s="18" t="n">
        <f aca="false">SUM(B23:M23)</f>
        <v>18000</v>
      </c>
      <c r="O23" s="19" t="n">
        <f aca="false">N23/12</f>
        <v>1500</v>
      </c>
      <c r="P23" s="20" t="n">
        <f aca="false">IFERROR(N23/N$11,0)</f>
        <v>0.0168105289946603</v>
      </c>
    </row>
    <row r="24" customFormat="false" ht="15" hidden="false" customHeight="false" outlineLevel="0" collapsed="false">
      <c r="A24" s="16" t="s">
        <v>56</v>
      </c>
      <c r="B24" s="17" t="n">
        <v>900</v>
      </c>
      <c r="C24" s="17" t="n">
        <v>850</v>
      </c>
      <c r="D24" s="17" t="n">
        <v>1100</v>
      </c>
      <c r="E24" s="17" t="n">
        <v>950</v>
      </c>
      <c r="F24" s="17" t="n">
        <v>900</v>
      </c>
      <c r="G24" s="17" t="n">
        <v>1000</v>
      </c>
      <c r="H24" s="17" t="n">
        <v>1050</v>
      </c>
      <c r="I24" s="17" t="n">
        <v>900</v>
      </c>
      <c r="J24" s="17" t="n">
        <v>950</v>
      </c>
      <c r="K24" s="17" t="n">
        <v>1000</v>
      </c>
      <c r="L24" s="17" t="n">
        <v>1200</v>
      </c>
      <c r="M24" s="17" t="n">
        <v>1300</v>
      </c>
      <c r="N24" s="18" t="n">
        <f aca="false">SUM(B24:M24)</f>
        <v>12100</v>
      </c>
      <c r="O24" s="19" t="n">
        <f aca="false">N24/12</f>
        <v>1008.33333333333</v>
      </c>
      <c r="P24" s="20" t="n">
        <f aca="false">IFERROR(N24/N$11,0)</f>
        <v>0.0113004111575217</v>
      </c>
    </row>
    <row r="25" customFormat="false" ht="15" hidden="false" customHeight="false" outlineLevel="0" collapsed="false">
      <c r="A25" s="16" t="s">
        <v>57</v>
      </c>
      <c r="B25" s="17" t="n">
        <v>250</v>
      </c>
      <c r="C25" s="17" t="n">
        <v>240</v>
      </c>
      <c r="D25" s="17" t="n">
        <v>260</v>
      </c>
      <c r="E25" s="17" t="n">
        <v>300</v>
      </c>
      <c r="F25" s="17" t="n">
        <v>320</v>
      </c>
      <c r="G25" s="17" t="n">
        <v>330</v>
      </c>
      <c r="H25" s="17" t="n">
        <v>350</v>
      </c>
      <c r="I25" s="17" t="n">
        <v>360</v>
      </c>
      <c r="J25" s="17" t="n">
        <v>380</v>
      </c>
      <c r="K25" s="17" t="n">
        <v>400</v>
      </c>
      <c r="L25" s="17" t="n">
        <v>420</v>
      </c>
      <c r="M25" s="17" t="n">
        <v>450</v>
      </c>
      <c r="N25" s="18" t="n">
        <f aca="false">SUM(B25:M25)</f>
        <v>4060</v>
      </c>
      <c r="O25" s="19" t="n">
        <f aca="false">N25/12</f>
        <v>338.333333333333</v>
      </c>
      <c r="P25" s="20" t="n">
        <f aca="false">IFERROR(N25/N$11,0)</f>
        <v>0.00379170820657338</v>
      </c>
    </row>
    <row r="26" customFormat="false" ht="15" hidden="false" customHeight="false" outlineLevel="0" collapsed="false">
      <c r="A26" s="21" t="s">
        <v>58</v>
      </c>
      <c r="B26" s="18" t="n">
        <f aca="false">B21-B23-B24+B25</f>
        <v>4780</v>
      </c>
      <c r="C26" s="18" t="n">
        <f aca="false">C21-C23-C24+C25</f>
        <v>3917.5</v>
      </c>
      <c r="D26" s="18" t="n">
        <f aca="false">D21-D23-D24+D25</f>
        <v>6625</v>
      </c>
      <c r="E26" s="18" t="n">
        <f aca="false">E21-E23-E24+E25</f>
        <v>5970</v>
      </c>
      <c r="F26" s="18" t="n">
        <f aca="false">F21-F23-F24+F25</f>
        <v>8602.5</v>
      </c>
      <c r="G26" s="18" t="n">
        <f aca="false">G21-G23-G24+G25</f>
        <v>9215</v>
      </c>
      <c r="H26" s="18" t="n">
        <f aca="false">H21-H23-H24+H25</f>
        <v>8205</v>
      </c>
      <c r="I26" s="18" t="n">
        <f aca="false">I21-I23-I24+I25</f>
        <v>10705</v>
      </c>
      <c r="J26" s="18" t="n">
        <f aca="false">J21-J23-J24+J25</f>
        <v>10352.5</v>
      </c>
      <c r="K26" s="18" t="n">
        <f aca="false">K21-K23-K24+K25</f>
        <v>10720</v>
      </c>
      <c r="L26" s="18" t="n">
        <f aca="false">L21-L23-L24+L25</f>
        <v>12645</v>
      </c>
      <c r="M26" s="18" t="n">
        <f aca="false">M21-M23-M24+M25</f>
        <v>11430</v>
      </c>
      <c r="N26" s="18" t="n">
        <f aca="false">SUM(B26:M26)</f>
        <v>103167.5</v>
      </c>
      <c r="O26" s="18" t="n">
        <f aca="false">N26/12</f>
        <v>8597.29166666667</v>
      </c>
      <c r="P26" s="22" t="n">
        <f aca="false">IFERROR(N26/N$11,0)</f>
        <v>0.0963500138920344</v>
      </c>
    </row>
    <row r="27" customFormat="false" ht="15" hidden="false" customHeight="false" outlineLevel="0" collapsed="false">
      <c r="A27" s="16" t="s">
        <v>59</v>
      </c>
      <c r="B27" s="17" t="n">
        <v>717</v>
      </c>
      <c r="C27" s="17" t="n">
        <v>587.62</v>
      </c>
      <c r="D27" s="17" t="n">
        <v>993.75</v>
      </c>
      <c r="E27" s="17" t="n">
        <v>895.5</v>
      </c>
      <c r="F27" s="17" t="n">
        <v>1290.38</v>
      </c>
      <c r="G27" s="17" t="n">
        <v>1382.25</v>
      </c>
      <c r="H27" s="17" t="n">
        <v>1230.75</v>
      </c>
      <c r="I27" s="17" t="n">
        <v>1605.75</v>
      </c>
      <c r="J27" s="17" t="n">
        <v>1552.88</v>
      </c>
      <c r="K27" s="17" t="n">
        <v>1608</v>
      </c>
      <c r="L27" s="17" t="n">
        <v>1896.75</v>
      </c>
      <c r="M27" s="17" t="n">
        <v>1714.5</v>
      </c>
      <c r="N27" s="18" t="n">
        <f aca="false">SUM(B27:M27)</f>
        <v>15475.13</v>
      </c>
      <c r="O27" s="19" t="n">
        <f aca="false">N27/12</f>
        <v>1289.59416666667</v>
      </c>
      <c r="P27" s="20" t="n">
        <f aca="false">IFERROR(N27/N$11,0)</f>
        <v>0.0144525067533965</v>
      </c>
    </row>
    <row r="28" customFormat="false" ht="15" hidden="false" customHeight="false" outlineLevel="0" collapsed="false">
      <c r="A28" s="21" t="s">
        <v>60</v>
      </c>
      <c r="B28" s="18" t="n">
        <f aca="false">B26-B27</f>
        <v>4063</v>
      </c>
      <c r="C28" s="18" t="n">
        <f aca="false">C26-C27</f>
        <v>3329.88</v>
      </c>
      <c r="D28" s="18" t="n">
        <f aca="false">D26-D27</f>
        <v>5631.25</v>
      </c>
      <c r="E28" s="18" t="n">
        <f aca="false">E26-E27</f>
        <v>5074.5</v>
      </c>
      <c r="F28" s="18" t="n">
        <f aca="false">F26-F27</f>
        <v>7312.12</v>
      </c>
      <c r="G28" s="18" t="n">
        <f aca="false">G26-G27</f>
        <v>7832.75</v>
      </c>
      <c r="H28" s="18" t="n">
        <f aca="false">H26-H27</f>
        <v>6974.25</v>
      </c>
      <c r="I28" s="18" t="n">
        <f aca="false">I26-I27</f>
        <v>9099.25</v>
      </c>
      <c r="J28" s="18" t="n">
        <f aca="false">J26-J27</f>
        <v>8799.62</v>
      </c>
      <c r="K28" s="18" t="n">
        <f aca="false">K26-K27</f>
        <v>9112</v>
      </c>
      <c r="L28" s="18" t="n">
        <f aca="false">L26-L27</f>
        <v>10748.25</v>
      </c>
      <c r="M28" s="18" t="n">
        <f aca="false">M26-M27</f>
        <v>9715.5</v>
      </c>
      <c r="N28" s="18" t="n">
        <f aca="false">SUM(B28:M28)</f>
        <v>87692.37</v>
      </c>
      <c r="O28" s="18" t="n">
        <f aca="false">N28/12</f>
        <v>7307.6975</v>
      </c>
      <c r="P28" s="22" t="n">
        <f aca="false">IFERROR(N28/N$11,0)</f>
        <v>0.0818975071386378</v>
      </c>
    </row>
    <row r="29" customFormat="false" ht="15" hidden="false" customHeight="false" outlineLevel="0" collapsed="false">
      <c r="A29" s="24" t="s">
        <v>61</v>
      </c>
      <c r="B29" s="25" t="n">
        <f aca="false">IFERROR(B28/B11,0)</f>
        <v>0.0550318298794528</v>
      </c>
      <c r="C29" s="25" t="n">
        <f aca="false">IFERROR(C28/C11,0)</f>
        <v>0.0469476578196045</v>
      </c>
      <c r="D29" s="25" t="n">
        <f aca="false">IFERROR(D28/D11,0)</f>
        <v>0.0688711551397297</v>
      </c>
      <c r="E29" s="25" t="n">
        <f aca="false">IFERROR(E28/E11,0)</f>
        <v>0.0638944850163687</v>
      </c>
      <c r="F29" s="25" t="n">
        <f aca="false">IFERROR(F28/F11,0)</f>
        <v>0.0849431649870764</v>
      </c>
      <c r="G29" s="25" t="n">
        <f aca="false">IFERROR(G28/G11,0)</f>
        <v>0.0882215464323929</v>
      </c>
      <c r="H29" s="25" t="n">
        <f aca="false">IFERROR(H28/H11,0)</f>
        <v>0.0798380172857879</v>
      </c>
      <c r="I29" s="25" t="n">
        <f aca="false">IFERROR(I28/I11,0)</f>
        <v>0.0982163095687841</v>
      </c>
      <c r="J29" s="25" t="n">
        <f aca="false">IFERROR(J28/J11,0)</f>
        <v>0.096042129389615</v>
      </c>
      <c r="K29" s="25" t="n">
        <f aca="false">IFERROR(K28/K11,0)</f>
        <v>0.0941127866143359</v>
      </c>
      <c r="L29" s="25" t="n">
        <f aca="false">IFERROR(L28/L11,0)</f>
        <v>0.104023711589644</v>
      </c>
      <c r="M29" s="25" t="n">
        <f aca="false">IFERROR(M28/M11,0)</f>
        <v>0.0822093416821797</v>
      </c>
      <c r="N29" s="22" t="n">
        <f aca="false">IFERROR(N28/N11,0)</f>
        <v>0.0818975071386378</v>
      </c>
      <c r="O29" s="20" t="n">
        <f aca="false">IFERROR(AVERAGE(B29:M29),0)</f>
        <v>0.0801960112837477</v>
      </c>
      <c r="P29" s="6"/>
    </row>
    <row r="31" customFormat="false" ht="15" hidden="false" customHeight="false" outlineLevel="0" collapsed="false">
      <c r="A31" s="11" t="s">
        <v>62</v>
      </c>
    </row>
  </sheetData>
  <mergeCells count="1">
    <mergeCell ref="D4:G4"/>
  </mergeCell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18" min="5" style="0" width="13"/>
  </cols>
  <sheetData>
    <row r="1" customFormat="false" ht="27.75" hidden="false" customHeight="true" outlineLevel="0" collapsed="false">
      <c r="B1" s="10" t="s">
        <v>63</v>
      </c>
    </row>
    <row r="2" customFormat="false" ht="15" hidden="false" customHeight="false" outlineLevel="0" collapsed="false">
      <c r="B2" s="11" t="s">
        <v>64</v>
      </c>
    </row>
    <row r="5" customFormat="false" ht="15" hidden="false" customHeight="false" outlineLevel="0" collapsed="false">
      <c r="B5" s="26" t="s">
        <v>65</v>
      </c>
      <c r="C5" s="18" t="n">
        <f aca="false">DRE!N11</f>
        <v>1070757.5</v>
      </c>
    </row>
    <row r="6" customFormat="false" ht="15" hidden="false" customHeight="false" outlineLevel="0" collapsed="false">
      <c r="B6" s="26" t="s">
        <v>66</v>
      </c>
      <c r="C6" s="18" t="n">
        <f aca="false">DRE!N12</f>
        <v>501500</v>
      </c>
    </row>
    <row r="7" customFormat="false" ht="15" hidden="false" customHeight="false" outlineLevel="0" collapsed="false">
      <c r="B7" s="16" t="s">
        <v>67</v>
      </c>
      <c r="C7" s="17" t="n">
        <v>0</v>
      </c>
    </row>
    <row r="8" customFormat="false" ht="15" hidden="false" customHeight="false" outlineLevel="0" collapsed="false">
      <c r="B8" s="26" t="s">
        <v>68</v>
      </c>
      <c r="C8" s="18" t="n">
        <f aca="false">C6+C7</f>
        <v>501500</v>
      </c>
    </row>
    <row r="9" customFormat="false" ht="15" hidden="false" customHeight="false" outlineLevel="0" collapsed="false">
      <c r="B9" s="26" t="s">
        <v>69</v>
      </c>
      <c r="C9" s="18" t="n">
        <f aca="false">C5-C8</f>
        <v>569257.5</v>
      </c>
    </row>
    <row r="10" customFormat="false" ht="15" hidden="false" customHeight="false" outlineLevel="0" collapsed="false">
      <c r="B10" s="26" t="s">
        <v>70</v>
      </c>
      <c r="C10" s="22" t="n">
        <f aca="false">IFERROR(C9/C5,0)</f>
        <v>0.531639983843214</v>
      </c>
    </row>
    <row r="11" customFormat="false" ht="15" hidden="false" customHeight="false" outlineLevel="0" collapsed="false">
      <c r="B11" s="26" t="s">
        <v>71</v>
      </c>
      <c r="C11" s="18" t="n">
        <f aca="false">DRE!N15-C7+DRE!N23</f>
        <v>458050</v>
      </c>
    </row>
    <row r="12" customFormat="false" ht="15" hidden="false" customHeight="false" outlineLevel="0" collapsed="false">
      <c r="B12" s="26" t="s">
        <v>72</v>
      </c>
      <c r="C12" s="18" t="n">
        <f aca="false">IFERROR(C11/C10,0)</f>
        <v>861579.290347514</v>
      </c>
    </row>
    <row r="13" customFormat="false" ht="15" hidden="false" customHeight="false" outlineLevel="0" collapsed="false">
      <c r="B13" s="26" t="s">
        <v>73</v>
      </c>
      <c r="C13" s="18" t="n">
        <f aca="false">C12/12</f>
        <v>71798.2741956262</v>
      </c>
    </row>
    <row r="14" customFormat="false" ht="15" hidden="false" customHeight="false" outlineLevel="0" collapsed="false">
      <c r="B14" s="26" t="s">
        <v>74</v>
      </c>
      <c r="C14" s="22" t="n">
        <f aca="false">IFERROR((C5-C12)/C5,0)</f>
        <v>0.195355353245236</v>
      </c>
    </row>
    <row r="15" customFormat="false" ht="15" hidden="false" customHeight="false" outlineLevel="0" collapsed="false">
      <c r="B15" s="26" t="s">
        <v>75</v>
      </c>
      <c r="C15" s="18" t="n">
        <f aca="false">DRE!N13</f>
        <v>569257.5</v>
      </c>
    </row>
    <row r="16" customFormat="false" ht="15" hidden="false" customHeight="false" outlineLevel="0" collapsed="false">
      <c r="B16" s="26" t="s">
        <v>46</v>
      </c>
      <c r="C16" s="22" t="n">
        <f aca="false">DRE!N14</f>
        <v>0.531639983843214</v>
      </c>
    </row>
    <row r="17" customFormat="false" ht="15" hidden="false" customHeight="false" outlineLevel="0" collapsed="false">
      <c r="B17" s="26" t="s">
        <v>76</v>
      </c>
      <c r="C17" s="18" t="n">
        <f aca="false">DRE!N21</f>
        <v>129207.5</v>
      </c>
    </row>
    <row r="18" customFormat="false" ht="15" hidden="false" customHeight="false" outlineLevel="0" collapsed="false">
      <c r="B18" s="26" t="s">
        <v>54</v>
      </c>
      <c r="C18" s="22" t="n">
        <f aca="false">DRE!N22</f>
        <v>0.120669245837643</v>
      </c>
    </row>
    <row r="19" customFormat="false" ht="15" hidden="false" customHeight="false" outlineLevel="0" collapsed="false">
      <c r="B19" s="26" t="s">
        <v>77</v>
      </c>
      <c r="C19" s="18" t="n">
        <f aca="false">DRE!N28</f>
        <v>87692.37</v>
      </c>
    </row>
    <row r="20" customFormat="false" ht="15" hidden="false" customHeight="false" outlineLevel="0" collapsed="false">
      <c r="B20" s="26" t="s">
        <v>61</v>
      </c>
      <c r="C20" s="22" t="n">
        <f aca="false">DRE!N29</f>
        <v>0.0818975071386378</v>
      </c>
    </row>
    <row r="21" customFormat="false" ht="15" hidden="false" customHeight="false" outlineLevel="0" collapsed="false">
      <c r="B21" s="26" t="s">
        <v>78</v>
      </c>
      <c r="C21" s="22" t="n">
        <f aca="false">IFERROR(DRE!N15/C5,0)</f>
        <v>0.410970738005571</v>
      </c>
    </row>
    <row r="22" customFormat="false" ht="15" hidden="false" customHeight="false" outlineLevel="0" collapsed="false">
      <c r="B22" s="26" t="s">
        <v>79</v>
      </c>
      <c r="C22" s="18" t="n">
        <f aca="false">C5/12</f>
        <v>89229.7916666667</v>
      </c>
    </row>
    <row r="23" customFormat="false" ht="15" hidden="false" customHeight="false" outlineLevel="0" collapsed="false">
      <c r="B23" s="26" t="s">
        <v>80</v>
      </c>
      <c r="C23" s="27" t="str">
        <f aca="false">INDEX(DRE!B6:M6,MATCH(MAX(DRE!B11:M11),DRE!B11:M11,0))</f>
        <v>Dez</v>
      </c>
    </row>
    <row r="24" customFormat="false" ht="15" hidden="false" customHeight="false" outlineLevel="0" collapsed="false">
      <c r="B24" s="26" t="s">
        <v>81</v>
      </c>
      <c r="C24" s="27" t="str">
        <f aca="false">INDEX(DRE!B6:M6,MATCH(MAX(DRE!B28:M28),DRE!B28:M28,0))</f>
        <v>Nov</v>
      </c>
    </row>
    <row r="25" customFormat="false" ht="15" hidden="false" customHeight="false" outlineLevel="0" collapsed="false">
      <c r="B25" s="26" t="s">
        <v>82</v>
      </c>
      <c r="C25" s="28" t="n">
        <f aca="false">COUNTIF(DRE!B28:M28,"&lt;0")</f>
        <v>0</v>
      </c>
    </row>
    <row r="26" customFormat="false" ht="30" hidden="false" customHeight="true" outlineLevel="0" collapsed="false">
      <c r="B26" s="8" t="s">
        <v>83</v>
      </c>
    </row>
    <row r="28" customFormat="false" ht="19.5" hidden="false" customHeight="true" outlineLevel="0" collapsed="false">
      <c r="B28" s="3" t="s">
        <v>84</v>
      </c>
    </row>
    <row r="29" customFormat="false" ht="21.75" hidden="false" customHeight="true" outlineLevel="0" collapsed="false">
      <c r="B29" s="15" t="s">
        <v>85</v>
      </c>
      <c r="C29" s="15" t="s">
        <v>24</v>
      </c>
      <c r="D29" s="15" t="s">
        <v>25</v>
      </c>
      <c r="E29" s="15" t="s">
        <v>26</v>
      </c>
      <c r="F29" s="15" t="s">
        <v>27</v>
      </c>
      <c r="G29" s="15" t="s">
        <v>28</v>
      </c>
      <c r="H29" s="15" t="s">
        <v>29</v>
      </c>
      <c r="I29" s="15" t="s">
        <v>30</v>
      </c>
      <c r="J29" s="15" t="s">
        <v>31</v>
      </c>
      <c r="K29" s="15" t="s">
        <v>32</v>
      </c>
      <c r="L29" s="15" t="s">
        <v>33</v>
      </c>
      <c r="M29" s="15" t="s">
        <v>34</v>
      </c>
      <c r="N29" s="15" t="s">
        <v>35</v>
      </c>
    </row>
    <row r="30" customFormat="false" ht="15" hidden="false" customHeight="false" outlineLevel="0" collapsed="false">
      <c r="B30" s="21" t="s">
        <v>86</v>
      </c>
      <c r="C30" s="19" t="n">
        <f aca="false">DRE!B11</f>
        <v>73830</v>
      </c>
      <c r="D30" s="19" t="n">
        <f aca="false">DRE!C11</f>
        <v>70927.5</v>
      </c>
      <c r="E30" s="19" t="n">
        <f aca="false">DRE!D11</f>
        <v>81765</v>
      </c>
      <c r="F30" s="19" t="n">
        <f aca="false">DRE!E11</f>
        <v>79420</v>
      </c>
      <c r="G30" s="19" t="n">
        <f aca="false">DRE!F11</f>
        <v>86082.5</v>
      </c>
      <c r="H30" s="19" t="n">
        <f aca="false">DRE!G11</f>
        <v>88785</v>
      </c>
      <c r="I30" s="19" t="n">
        <f aca="false">DRE!H11</f>
        <v>87355</v>
      </c>
      <c r="J30" s="19" t="n">
        <f aca="false">DRE!I11</f>
        <v>92645</v>
      </c>
      <c r="K30" s="19" t="n">
        <f aca="false">DRE!J11</f>
        <v>91622.5</v>
      </c>
      <c r="L30" s="19" t="n">
        <f aca="false">DRE!K11</f>
        <v>96820</v>
      </c>
      <c r="M30" s="19" t="n">
        <f aca="false">DRE!L11</f>
        <v>103325</v>
      </c>
      <c r="N30" s="19" t="n">
        <f aca="false">DRE!M11</f>
        <v>118180</v>
      </c>
    </row>
    <row r="31" customFormat="false" ht="15" hidden="false" customHeight="false" outlineLevel="0" collapsed="false">
      <c r="B31" s="21" t="s">
        <v>87</v>
      </c>
      <c r="C31" s="19" t="n">
        <f aca="false">DRE!B28</f>
        <v>4063</v>
      </c>
      <c r="D31" s="19" t="n">
        <f aca="false">DRE!C28</f>
        <v>3329.88</v>
      </c>
      <c r="E31" s="19" t="n">
        <f aca="false">DRE!D28</f>
        <v>5631.25</v>
      </c>
      <c r="F31" s="19" t="n">
        <f aca="false">DRE!E28</f>
        <v>5074.5</v>
      </c>
      <c r="G31" s="19" t="n">
        <f aca="false">DRE!F28</f>
        <v>7312.12</v>
      </c>
      <c r="H31" s="19" t="n">
        <f aca="false">DRE!G28</f>
        <v>7832.75</v>
      </c>
      <c r="I31" s="19" t="n">
        <f aca="false">DRE!H28</f>
        <v>6974.25</v>
      </c>
      <c r="J31" s="19" t="n">
        <f aca="false">DRE!I28</f>
        <v>9099.25</v>
      </c>
      <c r="K31" s="19" t="n">
        <f aca="false">DRE!J28</f>
        <v>8799.62</v>
      </c>
      <c r="L31" s="19" t="n">
        <f aca="false">DRE!K28</f>
        <v>9112</v>
      </c>
      <c r="M31" s="19" t="n">
        <f aca="false">DRE!L28</f>
        <v>10748.25</v>
      </c>
      <c r="N31" s="19" t="n">
        <f aca="false">DRE!M28</f>
        <v>9715.5</v>
      </c>
    </row>
    <row r="32" customFormat="false" ht="15" hidden="false" customHeight="false" outlineLevel="0" collapsed="false">
      <c r="B32" s="21" t="s">
        <v>88</v>
      </c>
      <c r="C32" s="19" t="n">
        <f aca="false">DRE!B21</f>
        <v>6930</v>
      </c>
      <c r="D32" s="19" t="n">
        <f aca="false">DRE!C21</f>
        <v>6027.5</v>
      </c>
      <c r="E32" s="19" t="n">
        <f aca="false">DRE!D21</f>
        <v>8965</v>
      </c>
      <c r="F32" s="19" t="n">
        <f aca="false">DRE!E21</f>
        <v>8120</v>
      </c>
      <c r="G32" s="19" t="n">
        <f aca="false">DRE!F21</f>
        <v>10682.5</v>
      </c>
      <c r="H32" s="19" t="n">
        <f aca="false">DRE!G21</f>
        <v>11385</v>
      </c>
      <c r="I32" s="19" t="n">
        <f aca="false">DRE!H21</f>
        <v>10405</v>
      </c>
      <c r="J32" s="19" t="n">
        <f aca="false">DRE!I21</f>
        <v>12745</v>
      </c>
      <c r="K32" s="19" t="n">
        <f aca="false">DRE!J21</f>
        <v>12422.5</v>
      </c>
      <c r="L32" s="19" t="n">
        <f aca="false">DRE!K21</f>
        <v>12820</v>
      </c>
      <c r="M32" s="19" t="n">
        <f aca="false">DRE!L21</f>
        <v>14925</v>
      </c>
      <c r="N32" s="19" t="n">
        <f aca="false">DRE!M21</f>
        <v>13780</v>
      </c>
    </row>
    <row r="33" customFormat="false" ht="15" hidden="false" customHeight="false" outlineLevel="0" collapsed="false">
      <c r="B33" s="21" t="s">
        <v>61</v>
      </c>
      <c r="C33" s="20" t="n">
        <f aca="false">DRE!B29</f>
        <v>0.0550318298794528</v>
      </c>
      <c r="D33" s="20" t="n">
        <f aca="false">DRE!C29</f>
        <v>0.0469476578196045</v>
      </c>
      <c r="E33" s="20" t="n">
        <f aca="false">DRE!D29</f>
        <v>0.0688711551397297</v>
      </c>
      <c r="F33" s="20" t="n">
        <f aca="false">DRE!E29</f>
        <v>0.0638944850163687</v>
      </c>
      <c r="G33" s="20" t="n">
        <f aca="false">DRE!F29</f>
        <v>0.0849431649870764</v>
      </c>
      <c r="H33" s="20" t="n">
        <f aca="false">DRE!G29</f>
        <v>0.0882215464323929</v>
      </c>
      <c r="I33" s="20" t="n">
        <f aca="false">DRE!H29</f>
        <v>0.0798380172857879</v>
      </c>
      <c r="J33" s="20" t="n">
        <f aca="false">DRE!I29</f>
        <v>0.0982163095687841</v>
      </c>
      <c r="K33" s="20" t="n">
        <f aca="false">DRE!J29</f>
        <v>0.096042129389615</v>
      </c>
      <c r="L33" s="20" t="n">
        <f aca="false">DRE!K29</f>
        <v>0.0941127866143359</v>
      </c>
      <c r="M33" s="20" t="n">
        <f aca="false">DRE!L29</f>
        <v>0.104023711589644</v>
      </c>
      <c r="N33" s="20" t="n">
        <f aca="false">DRE!M29</f>
        <v>0.0822093416821797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2026-10-09T03:57:00Z</dcterms:created>
  <dc:creator>Batistela Gestão Empresarial</dc:creator>
  <dc:description/>
  <dc:language>en-US</dc:language>
  <cp:lastModifiedBy/>
  <dcterms:modified xsi:type="dcterms:W3CDTF">2026-10-09T03:57:02Z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