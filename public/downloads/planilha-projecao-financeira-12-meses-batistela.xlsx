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Premissas" sheetId="2" state="visible" r:id="rId4"/>
    <sheet name="Projeção" sheetId="3" state="visible" r:id="rId5"/>
    <sheet name="Cenári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<sst xmlns="http://schemas.openxmlformats.org/spreadsheetml/2006/main" count="155" uniqueCount="122">
  <si>
    <t xml:space="preserve">Batistela Gestão Empresarial</t>
  </si>
  <si>
    <t xml:space="preserve">Consultoria em gestão empresarial • Florianópolis, SC</t>
  </si>
  <si>
    <t xml:space="preserve">Projeção Financeira 12 Meses</t>
  </si>
  <si>
    <t xml:space="preserve">Projeção Financeira de 12 Meses: a partir de premissas simples (receita, crescimento, custos, despesas fixas e investimentos), projete receita, margem, EBITDA, fluxo de caixa e caixa acumulado para o próximo ano em três cenários.</t>
  </si>
  <si>
    <t xml:space="preserve">Como usar</t>
  </si>
  <si>
    <t xml:space="preserve">1. Na aba Premissas, informe o mês inicial da projeção, a receita esperada no primeiro mês, o crescimento mensal e os percentuais de custo variável e impostos.</t>
  </si>
  <si>
    <t xml:space="preserve">2. Preencha as despesas fixas mensais por categoria e os investimentos planejados para cada um dos 12 meses (deixe 0 quando não houver).</t>
  </si>
  <si>
    <t xml:space="preserve">3. Informe o saldo de caixa inicial (dinheiro disponível no início do mês 1).</t>
  </si>
  <si>
    <t xml:space="preserve">4. Ajuste, se desejar, os parâmetros dos cenários Pessimista, Base e Otimista (ajuste no crescimento mensal e na receita inicial).</t>
  </si>
  <si>
    <t xml:space="preserve">5. Escolha o cenário ativo na célula Cenário selecionado (Premissas) para ver a projeção detalhada na aba Projeção.</t>
  </si>
  <si>
    <t xml:space="preserve">6. A aba Cenários compara os três cenários lado a lado (totais anuais, caixa final e menor caixa acumulado), independentemente do cenário selecionado.</t>
  </si>
  <si>
    <t xml:space="preserve">7. Observe o gráfico de Caixa acumulado: se a linha ficar negativa em algum mês, será necessário capital de giro, redução de despesas ou adiamento de investimentos.</t>
  </si>
  <si>
    <t xml:space="preserve">8. Revise as premissas a cada mês, comparando o projetado com o realizado, e refine a projeção.</t>
  </si>
  <si>
    <t xml:space="preserve">Legenda de cores</t>
  </si>
  <si>
    <t xml:space="preserve">Amarelo claro = célula para preencher (dado de entrada)</t>
  </si>
  <si>
    <t xml:space="preserve">Cinza = fórmula calculada automaticamente, não editar</t>
  </si>
  <si>
    <t xml:space="preserve">Azul-marinho = cabeçalho de tabela</t>
  </si>
  <si>
    <t xml:space="preserve">Importante: as planilhas não estão protegidas. Evite apagar ou mover as células cinza (fórmulas). Se algo sair do lugar, baixe novamente o arquivo original.</t>
  </si>
  <si>
    <t xml:space="preserve">Material gratuito. Dúvidas: info@batistelaconsultoria.com | batistelaconsultoria.com</t>
  </si>
  <si>
    <t xml:space="preserve">Premissas da Projeção</t>
  </si>
  <si>
    <t xml:space="preserve">Preencha as células em amarelo. Tudo o mais é calculado automaticamente.</t>
  </si>
  <si>
    <t xml:space="preserve">Parâmetros gerais</t>
  </si>
  <si>
    <t xml:space="preserve">Mês inicial da projeção (1º dia do mês)</t>
  </si>
  <si>
    <t xml:space="preserve">Receita do 1º mês (R$)</t>
  </si>
  <si>
    <t xml:space="preserve">Crescimento mensal da receita (%)</t>
  </si>
  <si>
    <t xml:space="preserve">Custo variável (% da receita) – mercadorias, insumos, comissões</t>
  </si>
  <si>
    <t xml:space="preserve">Impostos sobre a receita (%)</t>
  </si>
  <si>
    <t xml:space="preserve">Saldo de caixa inicial (R$)</t>
  </si>
  <si>
    <t xml:space="preserve">Despesas fixas mensais por categoria (R$)</t>
  </si>
  <si>
    <t xml:space="preserve">Categoria</t>
  </si>
  <si>
    <t xml:space="preserve">Valor mensal (R$)</t>
  </si>
  <si>
    <t xml:space="preserve">Aluguel e condomínio</t>
  </si>
  <si>
    <t xml:space="preserve">Salários e encargos</t>
  </si>
  <si>
    <t xml:space="preserve">Pró-labore</t>
  </si>
  <si>
    <t xml:space="preserve">Água, luz, internet e telefone</t>
  </si>
  <si>
    <t xml:space="preserve">Marketing fixo</t>
  </si>
  <si>
    <t xml:space="preserve">Contabilidade e serviços de terceiros</t>
  </si>
  <si>
    <t xml:space="preserve">Softwares e assinaturas</t>
  </si>
  <si>
    <t xml:space="preserve">Outras despesas fixas</t>
  </si>
  <si>
    <t xml:space="preserve">Total de despesas fixas mensais</t>
  </si>
  <si>
    <t xml:space="preserve">Investimentos planejados por mês (R$)</t>
  </si>
  <si>
    <t xml:space="preserve">Mês</t>
  </si>
  <si>
    <t xml:space="preserve">Referência</t>
  </si>
  <si>
    <t xml:space="preserve">Investimento (R$)</t>
  </si>
  <si>
    <t xml:space="preserve">Descrição (opcional)</t>
  </si>
  <si>
    <t xml:space="preserve">Mês 1</t>
  </si>
  <si>
    <t xml:space="preserve">Reforma / equipamentos</t>
  </si>
  <si>
    <t xml:space="preserve">Mês 2</t>
  </si>
  <si>
    <t xml:space="preserve">Mês 3</t>
  </si>
  <si>
    <t xml:space="preserve">Mês 4</t>
  </si>
  <si>
    <t xml:space="preserve">Mobiliário</t>
  </si>
  <si>
    <t xml:space="preserve">Mês 5</t>
  </si>
  <si>
    <t xml:space="preserve">Mês 6</t>
  </si>
  <si>
    <t xml:space="preserve">Mês 7</t>
  </si>
  <si>
    <t xml:space="preserve">Mês 8</t>
  </si>
  <si>
    <t xml:space="preserve">Mês 9</t>
  </si>
  <si>
    <t xml:space="preserve">Novo sistema</t>
  </si>
  <si>
    <t xml:space="preserve">Mês 10</t>
  </si>
  <si>
    <t xml:space="preserve">Mês 11</t>
  </si>
  <si>
    <t xml:space="preserve">Mês 12</t>
  </si>
  <si>
    <t xml:space="preserve">Total de investimentos no ano</t>
  </si>
  <si>
    <t xml:space="preserve">Cenários</t>
  </si>
  <si>
    <t xml:space="preserve">Cenário selecionado (usado na aba Projeção)</t>
  </si>
  <si>
    <t xml:space="preserve">Base</t>
  </si>
  <si>
    <t xml:space="preserve">Cenário</t>
  </si>
  <si>
    <t xml:space="preserve">Ajuste no crescimento mensal (p.p.)</t>
  </si>
  <si>
    <t xml:space="preserve">Ajuste na receita do 1º mês (%)</t>
  </si>
  <si>
    <t xml:space="preserve">Crescimento mensal efetivo</t>
  </si>
  <si>
    <t xml:space="preserve">Pessimista</t>
  </si>
  <si>
    <t xml:space="preserve">Otimista</t>
  </si>
  <si>
    <t xml:space="preserve">Ex.: crescimento base de 3,0% com ajuste de −2,0 p.p. resulta em 1,0% ao mês no cenário Pessimista.</t>
  </si>
  <si>
    <t xml:space="preserve">Projeção Financeira – 12 Meses</t>
  </si>
  <si>
    <t xml:space="preserve">Todos os valores são calculados a partir da aba Premissas e do cenário selecionado.</t>
  </si>
  <si>
    <t xml:space="preserve">Cenário ativo</t>
  </si>
  <si>
    <t xml:space="preserve">Crescimento mensal aplicado</t>
  </si>
  <si>
    <t xml:space="preserve">Ajuste receita 1º mês</t>
  </si>
  <si>
    <t xml:space="preserve">Linha</t>
  </si>
  <si>
    <t xml:space="preserve">Total 12 meses</t>
  </si>
  <si>
    <t xml:space="preserve">Período</t>
  </si>
  <si>
    <t xml:space="preserve">Receita</t>
  </si>
  <si>
    <t xml:space="preserve">(−) Impostos sobre a receita</t>
  </si>
  <si>
    <t xml:space="preserve">(−) Custos variáveis</t>
  </si>
  <si>
    <t xml:space="preserve">(=) Margem de contribuição</t>
  </si>
  <si>
    <t xml:space="preserve">Margem de contribuição %</t>
  </si>
  <si>
    <t xml:space="preserve">(−) Despesas fixas</t>
  </si>
  <si>
    <t xml:space="preserve">(=) EBITDA</t>
  </si>
  <si>
    <t xml:space="preserve">Margem EBITDA %</t>
  </si>
  <si>
    <t xml:space="preserve">(−) Investimentos</t>
  </si>
  <si>
    <t xml:space="preserve">(=) Fluxo de caixa do mês</t>
  </si>
  <si>
    <t xml:space="preserve">Caixa acumulado</t>
  </si>
  <si>
    <t xml:space="preserve">Resumo do cenário ativo</t>
  </si>
  <si>
    <t xml:space="preserve">Caixa final após 12 meses (R$)</t>
  </si>
  <si>
    <t xml:space="preserve">Menor caixa acumulado no período (R$)</t>
  </si>
  <si>
    <t xml:space="preserve">Mês do menor caixa</t>
  </si>
  <si>
    <t xml:space="preserve">Necessidade de capital de giro (se caixa negativo) (R$)</t>
  </si>
  <si>
    <t xml:space="preserve">Receita média mensal (R$)</t>
  </si>
  <si>
    <t xml:space="preserve">Ponto de equilíbrio mensal (R$) = despesas fixas ÷ MC %</t>
  </si>
  <si>
    <t xml:space="preserve">Mês em que a receita supera o ponto de equilíbrio</t>
  </si>
  <si>
    <t xml:space="preserve">Comparativo de Cenários</t>
  </si>
  <si>
    <t xml:space="preserve">Totais de 12 meses para cada cenário, calculados a partir das Premissas (independente do cenário selecionado).</t>
  </si>
  <si>
    <t xml:space="preserve">Indicador (12 meses)</t>
  </si>
  <si>
    <t xml:space="preserve">Receita total (R$)</t>
  </si>
  <si>
    <t xml:space="preserve">(−) Impostos sobre a receita (R$)</t>
  </si>
  <si>
    <t xml:space="preserve">(−) Custos variáveis (R$)</t>
  </si>
  <si>
    <t xml:space="preserve">(=) Margem de contribuição (R$)</t>
  </si>
  <si>
    <t xml:space="preserve">(−) Despesas fixas (R$)</t>
  </si>
  <si>
    <t xml:space="preserve">(=) EBITDA (R$)</t>
  </si>
  <si>
    <t xml:space="preserve">(−) Investimentos (R$)</t>
  </si>
  <si>
    <t xml:space="preserve">(=) Fluxo de caixa acumulado no ano (R$)</t>
  </si>
  <si>
    <t xml:space="preserve">Necessidade de capital de giro (R$)</t>
  </si>
  <si>
    <t xml:space="preserve">Cenário selecionado atualmente na aba Premissas:</t>
  </si>
  <si>
    <t xml:space="preserve">Detalhamento mensal por cenário (R$)</t>
  </si>
  <si>
    <t xml:space="preserve">Total</t>
  </si>
  <si>
    <t xml:space="preserve">Pessimista – Receita</t>
  </si>
  <si>
    <t xml:space="preserve">Pessimista – Fluxo de caixa do mês</t>
  </si>
  <si>
    <t xml:space="preserve">Pessimista – Caixa acumulado</t>
  </si>
  <si>
    <t xml:space="preserve">Base – Receita</t>
  </si>
  <si>
    <t xml:space="preserve">Base – Fluxo de caixa do mês</t>
  </si>
  <si>
    <t xml:space="preserve">Base – Caixa acumulado</t>
  </si>
  <si>
    <t xml:space="preserve">Otimista – Receita</t>
  </si>
  <si>
    <t xml:space="preserve">Otimista – Fluxo de caixa do mês</t>
  </si>
  <si>
    <t xml:space="preserve">Otimista – Caixa acumulado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</si>
</sst>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&quot;R$ &quot;#,##0.00"/>
    <numFmt numFmtId="167" formatCode="0.0%"/>
    <numFmt numFmtId="168" formatCode="mmm/yyyy"/>
    <numFmt numFmtId="169" formatCode="\+0.0%;\-0.0%;0.0%"/>
    <numFmt numFmtId="170" formatCode="mmm/yy"/>
    <numFmt numFmtId="171" formatCode="@"/>
    <numFmt numFmtId="172" formatCode="&quot;R$ &quot;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02A44"/>
      <name val="Calibri"/>
      <family val="0"/>
      <charset val="1"/>
    </font>
    <font>
      <i val="true"/>
      <sz val="11"/>
      <color rgb="FFAD965F"/>
      <name val="Calibri"/>
      <family val="0"/>
      <charset val="1"/>
    </font>
    <font>
      <b val="true"/>
      <sz val="13"/>
      <color rgb="FFAD965F"/>
      <name val="Calibri"/>
      <family val="0"/>
      <charset val="1"/>
    </font>
    <font>
      <sz val="11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7F7F7F"/>
      <name val="Calibri"/>
      <family val="0"/>
      <charset val="1"/>
    </font>
    <font>
      <b val="true"/>
      <sz val="11"/>
      <color rgb="FF202A44"/>
      <name val="Calibri"/>
      <family val="0"/>
      <charset val="1"/>
    </font>
    <font>
      <b val="true"/>
      <sz val="18"/>
      <color rgb="FF202A4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595959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AD965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5ECD5"/>
        <bgColor rgb="FFF2F2F2"/>
      </patternFill>
    </fill>
    <fill>
      <patternFill patternType="solid">
        <fgColor rgb="FFF2F2F2"/>
        <bgColor rgb="FFF5ECD5"/>
      </patternFill>
    </fill>
    <fill>
      <patternFill patternType="solid">
        <fgColor rgb="FF20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D965F"/>
      <rgbColor rgb="FF800080"/>
      <rgbColor rgb="FF008080"/>
      <rgbColor rgb="FFBFBFBF"/>
      <rgbColor rgb="FF7F7F7F"/>
      <rgbColor rgb="FF9999FF"/>
      <rgbColor rgb="FFB0413E"/>
      <rgbColor rgb="FFF5ECD5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20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Caixa acumulado – cenário ativo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Projeção!A18</c:f>
              <c:strCache>
                <c:ptCount val="1"/>
                <c:pt idx="0">
                  <c:v>Caixa acumulado</c:v>
                </c:pt>
              </c:strCache>
            </c:strRef>
          </c:tx>
          <c:spPr>
            <a:solidFill>
              <a:srgbClr val="202a44"/>
            </a:solidFill>
            <a:ln w="28080">
              <a:solidFill>
                <a:srgbClr val="202a44"/>
              </a:solidFill>
              <a:round/>
            </a:ln>
          </c:spPr>
          <c:marker>
            <c:symbol val="circle"/>
            <c:size val="6"/>
            <c:spPr>
              <a:solidFill>
                <a:srgbClr val="202a4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Projeção!$B$7:$M$7</c:f>
              <c:strCache>
                <c:ptCount val="12"/>
                <c:pt idx="0">
                  <c:v>Jan/27</c:v>
                </c:pt>
                <c:pt idx="1">
                  <c:v>Feb/27</c:v>
                </c:pt>
                <c:pt idx="2">
                  <c:v>Mar/27</c:v>
                </c:pt>
                <c:pt idx="3">
                  <c:v>Apr/27</c:v>
                </c:pt>
                <c:pt idx="4">
                  <c:v>May/27</c:v>
                </c:pt>
                <c:pt idx="5">
                  <c:v>Jun/27</c:v>
                </c:pt>
                <c:pt idx="6">
                  <c:v>Jul/27</c:v>
                </c:pt>
                <c:pt idx="7">
                  <c:v>Aug/27</c:v>
                </c:pt>
                <c:pt idx="8">
                  <c:v>Sep/27</c:v>
                </c:pt>
                <c:pt idx="9">
                  <c:v>Oct/27</c:v>
                </c:pt>
                <c:pt idx="10">
                  <c:v>Nov/27</c:v>
                </c:pt>
                <c:pt idx="11">
                  <c:v>Dec/27</c:v>
                </c:pt>
              </c:strCache>
            </c:strRef>
          </c:cat>
          <c:val>
            <c:numRef>
              <c:f>Projeção!$B$18:$M$18</c:f>
              <c:numCache>
                <c:formatCode>"R$ "#,##0.00</c:formatCode>
                <c:ptCount val="12"/>
                <c:pt idx="0">
                  <c:v>19400</c:v>
                </c:pt>
                <c:pt idx="1">
                  <c:v>22772</c:v>
                </c:pt>
                <c:pt idx="2">
                  <c:v>27145.16</c:v>
                </c:pt>
                <c:pt idx="3">
                  <c:v>29049.5148</c:v>
                </c:pt>
                <c:pt idx="4">
                  <c:v>35516.000244</c:v>
                </c:pt>
                <c:pt idx="5">
                  <c:v>43076.48025132</c:v>
                </c:pt>
                <c:pt idx="6">
                  <c:v>51763.7746588596</c:v>
                </c:pt>
                <c:pt idx="7">
                  <c:v>61611.6878986254</c:v>
                </c:pt>
                <c:pt idx="8">
                  <c:v>60655.0385355842</c:v>
                </c:pt>
                <c:pt idx="9">
                  <c:v>72929.6896916517</c:v>
                </c:pt>
                <c:pt idx="10">
                  <c:v>86472.5803824013</c:v>
                </c:pt>
                <c:pt idx="11">
                  <c:v>101321.757793873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671934"/>
        <c:axId val="78860164"/>
      </c:lineChart>
      <c:catAx>
        <c:axId val="47671934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60164"/>
        <c:crosses val="autoZero"/>
        <c:auto val="1"/>
        <c:lblAlgn val="ctr"/>
        <c:lblOffset val="100"/>
        <c:noMultiLvlLbl val="0"/>
      </c:catAx>
      <c:valAx>
        <c:axId val="788601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719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Caixa acumulado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Cenários!A24</c:f>
              <c:strCache>
                <c:ptCount val="1"/>
                <c:pt idx="0">
                  <c:v>Pessimista – Caixa acumulado</c:v>
                </c:pt>
              </c:strCache>
            </c:strRef>
          </c:tx>
          <c:spPr>
            <a:solidFill>
              <a:srgbClr val="b0413e"/>
            </a:solidFill>
            <a:ln w="28080">
              <a:solidFill>
                <a:srgbClr val="b0413e"/>
              </a:solidFill>
              <a:round/>
            </a:ln>
          </c:spPr>
          <c:marker>
            <c:symbol val="circle"/>
            <c:size val="6"/>
            <c:spPr>
              <a:solidFill>
                <a:srgbClr val="b0413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Cenários!$B$21:$M$21</c:f>
              <c:strCache>
                <c:ptCount val="12"/>
                <c:pt idx="0">
                  <c:v>Mês 1</c:v>
                </c:pt>
                <c:pt idx="1">
                  <c:v>Mês 2</c:v>
                </c:pt>
                <c:pt idx="2">
                  <c:v>Mês 3</c:v>
                </c:pt>
                <c:pt idx="3">
                  <c:v>Mês 4</c:v>
                </c:pt>
                <c:pt idx="4">
                  <c:v>Mês 5</c:v>
                </c:pt>
                <c:pt idx="5">
                  <c:v>Mês 6</c:v>
                </c:pt>
                <c:pt idx="6">
                  <c:v>Mês 7</c:v>
                </c:pt>
                <c:pt idx="7">
                  <c:v>Mês 8</c:v>
                </c:pt>
                <c:pt idx="8">
                  <c:v>Mês 9</c:v>
                </c:pt>
                <c:pt idx="9">
                  <c:v>Mês 10</c:v>
                </c:pt>
                <c:pt idx="10">
                  <c:v>Mês 11</c:v>
                </c:pt>
                <c:pt idx="11">
                  <c:v>Mês 12</c:v>
                </c:pt>
              </c:strCache>
            </c:strRef>
          </c:cat>
          <c:val>
            <c:numRef>
              <c:f>Cenários!$B$24:$M$24</c:f>
              <c:numCache>
                <c:formatCode>"R$ "#,##0.00</c:formatCode>
                <c:ptCount val="12"/>
                <c:pt idx="0">
                  <c:v>16160</c:v>
                </c:pt>
                <c:pt idx="1">
                  <c:v>15611.6</c:v>
                </c:pt>
                <c:pt idx="2">
                  <c:v>15357.716</c:v>
                </c:pt>
                <c:pt idx="3">
                  <c:v>11901.29316</c:v>
                </c:pt>
                <c:pt idx="4">
                  <c:v>12245.3060916</c:v>
                </c:pt>
                <c:pt idx="5">
                  <c:v>12892.759152516</c:v>
                </c:pt>
                <c:pt idx="6">
                  <c:v>13846.6867440412</c:v>
                </c:pt>
                <c:pt idx="7">
                  <c:v>15110.1536114816</c:v>
                </c:pt>
                <c:pt idx="8">
                  <c:v>4686.25514759641</c:v>
                </c:pt>
                <c:pt idx="9">
                  <c:v>6578.11769907238</c:v>
                </c:pt>
                <c:pt idx="10">
                  <c:v>8788.8988760631</c:v>
                </c:pt>
                <c:pt idx="11">
                  <c:v>11321.7878648237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Cenários!A27</c:f>
              <c:strCache>
                <c:ptCount val="1"/>
                <c:pt idx="0">
                  <c:v>Base – Caixa acumulado</c:v>
                </c:pt>
              </c:strCache>
            </c:strRef>
          </c:tx>
          <c:spPr>
            <a:solidFill>
              <a:srgbClr val="202a44"/>
            </a:solidFill>
            <a:ln w="28080">
              <a:solidFill>
                <a:srgbClr val="202a44"/>
              </a:solidFill>
              <a:round/>
            </a:ln>
          </c:spPr>
          <c:marker>
            <c:symbol val="circle"/>
            <c:size val="6"/>
            <c:spPr>
              <a:solidFill>
                <a:srgbClr val="202a4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Cenários!$B$21:$M$21</c:f>
              <c:strCache>
                <c:ptCount val="12"/>
                <c:pt idx="0">
                  <c:v>Mês 1</c:v>
                </c:pt>
                <c:pt idx="1">
                  <c:v>Mês 2</c:v>
                </c:pt>
                <c:pt idx="2">
                  <c:v>Mês 3</c:v>
                </c:pt>
                <c:pt idx="3">
                  <c:v>Mês 4</c:v>
                </c:pt>
                <c:pt idx="4">
                  <c:v>Mês 5</c:v>
                </c:pt>
                <c:pt idx="5">
                  <c:v>Mês 6</c:v>
                </c:pt>
                <c:pt idx="6">
                  <c:v>Mês 7</c:v>
                </c:pt>
                <c:pt idx="7">
                  <c:v>Mês 8</c:v>
                </c:pt>
                <c:pt idx="8">
                  <c:v>Mês 9</c:v>
                </c:pt>
                <c:pt idx="9">
                  <c:v>Mês 10</c:v>
                </c:pt>
                <c:pt idx="10">
                  <c:v>Mês 11</c:v>
                </c:pt>
                <c:pt idx="11">
                  <c:v>Mês 12</c:v>
                </c:pt>
              </c:strCache>
            </c:strRef>
          </c:cat>
          <c:val>
            <c:numRef>
              <c:f>Cenários!$B$27:$M$27</c:f>
              <c:numCache>
                <c:formatCode>"R$ "#,##0.00</c:formatCode>
                <c:ptCount val="12"/>
                <c:pt idx="0">
                  <c:v>19400</c:v>
                </c:pt>
                <c:pt idx="1">
                  <c:v>22772</c:v>
                </c:pt>
                <c:pt idx="2">
                  <c:v>27145.16</c:v>
                </c:pt>
                <c:pt idx="3">
                  <c:v>29049.5148</c:v>
                </c:pt>
                <c:pt idx="4">
                  <c:v>35516.000244</c:v>
                </c:pt>
                <c:pt idx="5">
                  <c:v>43076.48025132</c:v>
                </c:pt>
                <c:pt idx="6">
                  <c:v>51763.7746588596</c:v>
                </c:pt>
                <c:pt idx="7">
                  <c:v>61611.6878986254</c:v>
                </c:pt>
                <c:pt idx="8">
                  <c:v>60655.0385355842</c:v>
                </c:pt>
                <c:pt idx="9">
                  <c:v>72929.6896916517</c:v>
                </c:pt>
                <c:pt idx="10">
                  <c:v>86472.5803824013</c:v>
                </c:pt>
                <c:pt idx="11">
                  <c:v>101321.757793873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Cenários!A30</c:f>
              <c:strCache>
                <c:ptCount val="1"/>
                <c:pt idx="0">
                  <c:v>Otimista – Caixa acumulado</c:v>
                </c:pt>
              </c:strCache>
            </c:strRef>
          </c:tx>
          <c:spPr>
            <a:solidFill>
              <a:srgbClr val="ad965f"/>
            </a:solidFill>
            <a:ln w="28080">
              <a:solidFill>
                <a:srgbClr val="ad965f"/>
              </a:solidFill>
              <a:round/>
            </a:ln>
          </c:spPr>
          <c:marker>
            <c:symbol val="circle"/>
            <c:size val="6"/>
            <c:spPr>
              <a:solidFill>
                <a:srgbClr val="ad965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Cenários!$B$21:$M$21</c:f>
              <c:strCache>
                <c:ptCount val="12"/>
                <c:pt idx="0">
                  <c:v>Mês 1</c:v>
                </c:pt>
                <c:pt idx="1">
                  <c:v>Mês 2</c:v>
                </c:pt>
                <c:pt idx="2">
                  <c:v>Mês 3</c:v>
                </c:pt>
                <c:pt idx="3">
                  <c:v>Mês 4</c:v>
                </c:pt>
                <c:pt idx="4">
                  <c:v>Mês 5</c:v>
                </c:pt>
                <c:pt idx="5">
                  <c:v>Mês 6</c:v>
                </c:pt>
                <c:pt idx="6">
                  <c:v>Mês 7</c:v>
                </c:pt>
                <c:pt idx="7">
                  <c:v>Mês 8</c:v>
                </c:pt>
                <c:pt idx="8">
                  <c:v>Mês 9</c:v>
                </c:pt>
                <c:pt idx="9">
                  <c:v>Mês 10</c:v>
                </c:pt>
                <c:pt idx="10">
                  <c:v>Mês 11</c:v>
                </c:pt>
                <c:pt idx="11">
                  <c:v>Mês 12</c:v>
                </c:pt>
              </c:strCache>
            </c:strRef>
          </c:cat>
          <c:val>
            <c:numRef>
              <c:f>Cenários!$B$30:$M$30</c:f>
              <c:numCache>
                <c:formatCode>"R$ "#,##0.00</c:formatCode>
                <c:ptCount val="12"/>
                <c:pt idx="0">
                  <c:v>22640</c:v>
                </c:pt>
                <c:pt idx="1">
                  <c:v>30062</c:v>
                </c:pt>
                <c:pt idx="2">
                  <c:v>39355.1</c:v>
                </c:pt>
                <c:pt idx="3">
                  <c:v>47112.855</c:v>
                </c:pt>
                <c:pt idx="4">
                  <c:v>60433.49775</c:v>
                </c:pt>
                <c:pt idx="5">
                  <c:v>75920.1726375</c:v>
                </c:pt>
                <c:pt idx="6">
                  <c:v>93681.181269375</c:v>
                </c:pt>
                <c:pt idx="7">
                  <c:v>113830.240332844</c:v>
                </c:pt>
                <c:pt idx="8">
                  <c:v>124486.752349486</c:v>
                </c:pt>
                <c:pt idx="9">
                  <c:v>149776.08996696</c:v>
                </c:pt>
                <c:pt idx="10">
                  <c:v>177829.894465308</c:v>
                </c:pt>
                <c:pt idx="11">
                  <c:v>208786.389188574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146801"/>
        <c:axId val="23102465"/>
      </c:lineChart>
      <c:catAx>
        <c:axId val="261468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02465"/>
        <c:crosses val="autoZero"/>
        <c:auto val="1"/>
        <c:lblAlgn val="ctr"/>
        <c:lblOffset val="100"/>
        <c:noMultiLvlLbl val="0"/>
      </c:catAx>
      <c:valAx>
        <c:axId val="2310246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468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19</xdr:row>
      <xdr:rowOff>0</xdr:rowOff>
    </xdr:from>
    <xdr:to>
      <xdr:col>12</xdr:col>
      <xdr:colOff>25560</xdr:colOff>
      <xdr:row>34</xdr:row>
      <xdr:rowOff>145080</xdr:rowOff>
    </xdr:to>
    <xdr:graphicFrame>
      <xdr:nvGraphicFramePr>
        <xdr:cNvPr id="0" name="Chart 1"/>
        <xdr:cNvGraphicFramePr/>
      </xdr:nvGraphicFramePr>
      <xdr:xfrm>
        <a:off x="5497920" y="386712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13</xdr:col>
      <xdr:colOff>589320</xdr:colOff>
      <xdr:row>18</xdr:row>
      <xdr:rowOff>116280</xdr:rowOff>
    </xdr:to>
    <xdr:graphicFrame>
      <xdr:nvGraphicFramePr>
        <xdr:cNvPr id="1" name="Chart 1"/>
        <xdr:cNvGraphicFramePr/>
      </xdr:nvGraphicFramePr>
      <xdr:xfrm>
        <a:off x="6837120" y="73332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48" hidden="false" customHeight="true" outlineLevel="0" collapsed="false">
      <c r="B6" s="4" t="s">
        <v>3</v>
      </c>
    </row>
    <row r="8" customFormat="false" ht="16.15" hidden="false" customHeight="false" outlineLevel="0" collapsed="false">
      <c r="B8" s="3" t="s">
        <v>4</v>
      </c>
    </row>
    <row r="9" customFormat="false" ht="31.5" hidden="false" customHeight="true" outlineLevel="0" collapsed="false">
      <c r="B9" s="4" t="s">
        <v>5</v>
      </c>
    </row>
    <row r="10" customFormat="false" ht="31.5" hidden="false" customHeight="true" outlineLevel="0" collapsed="false">
      <c r="B10" s="4" t="s">
        <v>6</v>
      </c>
    </row>
    <row r="11" customFormat="false" ht="31.5" hidden="false" customHeight="true" outlineLevel="0" collapsed="false">
      <c r="B11" s="4" t="s">
        <v>7</v>
      </c>
    </row>
    <row r="12" customFormat="false" ht="31.5" hidden="false" customHeight="true" outlineLevel="0" collapsed="false">
      <c r="B12" s="4" t="s">
        <v>8</v>
      </c>
    </row>
    <row r="13" customFormat="false" ht="31.5" hidden="false" customHeight="true" outlineLevel="0" collapsed="false">
      <c r="B13" s="4" t="s">
        <v>9</v>
      </c>
    </row>
    <row r="14" customFormat="false" ht="31.5" hidden="false" customHeight="true" outlineLevel="0" collapsed="false">
      <c r="B14" s="4" t="s">
        <v>10</v>
      </c>
    </row>
    <row r="15" customFormat="false" ht="31.5" hidden="false" customHeight="true" outlineLevel="0" collapsed="false">
      <c r="B15" s="4" t="s">
        <v>11</v>
      </c>
    </row>
    <row r="16" customFormat="false" ht="31.5" hidden="false" customHeight="true" outlineLevel="0" collapsed="false">
      <c r="B16" s="4" t="s">
        <v>12</v>
      </c>
    </row>
    <row r="18" customFormat="false" ht="16.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5" t="s">
        <v>14</v>
      </c>
    </row>
    <row r="20" customFormat="false" ht="15" hidden="false" customHeight="false" outlineLevel="0" collapsed="false">
      <c r="B20" s="6" t="s">
        <v>15</v>
      </c>
    </row>
    <row r="21" customFormat="false" ht="15" hidden="false" customHeight="false" outlineLevel="0" collapsed="false">
      <c r="B21" s="7" t="s">
        <v>16</v>
      </c>
    </row>
    <row r="23" customFormat="false" ht="30" hidden="false" customHeight="true" outlineLevel="0" collapsed="false">
      <c r="B23" s="8" t="s">
        <v>17</v>
      </c>
    </row>
    <row r="25" customFormat="false" ht="15" hidden="false" customHeight="false" outlineLevel="0" collapsed="false">
      <c r="B25" s="9" t="s">
        <v>18</v>
      </c>
    </row>
  </sheetData>
  <printOptions headings="false" gridLines="false" gridLinesSet="true" horizontalCentered="true" verticalCentered="false"/>
  <pageMargins left="0.5" right="0.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3"/>
  </cols>
  <sheetData>
    <row r="1" customFormat="false" ht="27.75" hidden="false" customHeight="true" outlineLevel="0" collapsed="false">
      <c r="B1" s="10" t="s">
        <v>19</v>
      </c>
    </row>
    <row r="2" customFormat="false" ht="15" hidden="false" customHeight="false" outlineLevel="0" collapsed="false">
      <c r="B2" s="11" t="s">
        <v>20</v>
      </c>
    </row>
    <row r="4" customFormat="false" ht="19.5" hidden="false" customHeight="true" outlineLevel="0" collapsed="false">
      <c r="B4" s="3" t="s">
        <v>21</v>
      </c>
    </row>
    <row r="5" customFormat="false" ht="15" hidden="false" customHeight="false" outlineLevel="0" collapsed="false">
      <c r="B5" s="12" t="s">
        <v>22</v>
      </c>
      <c r="C5" s="13" t="n">
        <v>46388</v>
      </c>
    </row>
    <row r="6" customFormat="false" ht="15" hidden="false" customHeight="false" outlineLevel="0" collapsed="false">
      <c r="B6" s="12" t="s">
        <v>23</v>
      </c>
      <c r="C6" s="14" t="n">
        <v>60000</v>
      </c>
    </row>
    <row r="7" customFormat="false" ht="15" hidden="false" customHeight="false" outlineLevel="0" collapsed="false">
      <c r="B7" s="12" t="s">
        <v>24</v>
      </c>
      <c r="C7" s="15" t="n">
        <v>0.03</v>
      </c>
    </row>
    <row r="8" customFormat="false" ht="15" hidden="false" customHeight="false" outlineLevel="0" collapsed="false">
      <c r="B8" s="12" t="s">
        <v>25</v>
      </c>
      <c r="C8" s="15" t="n">
        <v>0.38</v>
      </c>
    </row>
    <row r="9" customFormat="false" ht="15" hidden="false" customHeight="false" outlineLevel="0" collapsed="false">
      <c r="B9" s="12" t="s">
        <v>26</v>
      </c>
      <c r="C9" s="15" t="n">
        <v>0.08</v>
      </c>
    </row>
    <row r="10" customFormat="false" ht="15" hidden="false" customHeight="false" outlineLevel="0" collapsed="false">
      <c r="B10" s="12" t="s">
        <v>27</v>
      </c>
      <c r="C10" s="14" t="n">
        <v>25000</v>
      </c>
    </row>
    <row r="12" customFormat="false" ht="19.5" hidden="false" customHeight="true" outlineLevel="0" collapsed="false">
      <c r="B12" s="3" t="s">
        <v>28</v>
      </c>
    </row>
    <row r="13" customFormat="false" ht="21.75" hidden="false" customHeight="true" outlineLevel="0" collapsed="false">
      <c r="B13" s="16" t="s">
        <v>29</v>
      </c>
      <c r="C13" s="16" t="s">
        <v>30</v>
      </c>
    </row>
    <row r="14" customFormat="false" ht="15" hidden="false" customHeight="false" outlineLevel="0" collapsed="false">
      <c r="B14" s="5" t="s">
        <v>31</v>
      </c>
      <c r="C14" s="14" t="n">
        <v>4500</v>
      </c>
    </row>
    <row r="15" customFormat="false" ht="15" hidden="false" customHeight="false" outlineLevel="0" collapsed="false">
      <c r="B15" s="5" t="s">
        <v>32</v>
      </c>
      <c r="C15" s="14" t="n">
        <v>14000</v>
      </c>
    </row>
    <row r="16" customFormat="false" ht="15" hidden="false" customHeight="false" outlineLevel="0" collapsed="false">
      <c r="B16" s="5" t="s">
        <v>33</v>
      </c>
      <c r="C16" s="14" t="n">
        <v>6000</v>
      </c>
    </row>
    <row r="17" customFormat="false" ht="15" hidden="false" customHeight="false" outlineLevel="0" collapsed="false">
      <c r="B17" s="5" t="s">
        <v>34</v>
      </c>
      <c r="C17" s="14" t="n">
        <v>900</v>
      </c>
    </row>
    <row r="18" customFormat="false" ht="15" hidden="false" customHeight="false" outlineLevel="0" collapsed="false">
      <c r="B18" s="5" t="s">
        <v>35</v>
      </c>
      <c r="C18" s="14" t="n">
        <v>1500</v>
      </c>
    </row>
    <row r="19" customFormat="false" ht="15" hidden="false" customHeight="false" outlineLevel="0" collapsed="false">
      <c r="B19" s="5" t="s">
        <v>36</v>
      </c>
      <c r="C19" s="14" t="n">
        <v>1200</v>
      </c>
    </row>
    <row r="20" customFormat="false" ht="15" hidden="false" customHeight="false" outlineLevel="0" collapsed="false">
      <c r="B20" s="5" t="s">
        <v>37</v>
      </c>
      <c r="C20" s="14" t="n">
        <v>600</v>
      </c>
    </row>
    <row r="21" customFormat="false" ht="15" hidden="false" customHeight="false" outlineLevel="0" collapsed="false">
      <c r="B21" s="5" t="s">
        <v>38</v>
      </c>
      <c r="C21" s="14" t="n">
        <v>1300</v>
      </c>
    </row>
    <row r="22" customFormat="false" ht="15" hidden="false" customHeight="false" outlineLevel="0" collapsed="false">
      <c r="B22" s="17" t="s">
        <v>39</v>
      </c>
      <c r="C22" s="18" t="n">
        <f aca="false">SUM(C14:C21)</f>
        <v>30000</v>
      </c>
    </row>
    <row r="24" customFormat="false" ht="19.5" hidden="false" customHeight="true" outlineLevel="0" collapsed="false">
      <c r="B24" s="3" t="s">
        <v>40</v>
      </c>
    </row>
    <row r="25" customFormat="false" ht="21.75" hidden="false" customHeight="true" outlineLevel="0" collapsed="false">
      <c r="B25" s="16" t="s">
        <v>41</v>
      </c>
      <c r="C25" s="16" t="s">
        <v>42</v>
      </c>
      <c r="D25" s="16" t="s">
        <v>43</v>
      </c>
      <c r="E25" s="16" t="s">
        <v>44</v>
      </c>
    </row>
    <row r="26" customFormat="false" ht="15" hidden="false" customHeight="false" outlineLevel="0" collapsed="false">
      <c r="B26" s="12" t="s">
        <v>45</v>
      </c>
      <c r="C26" s="19" t="n">
        <f aca="false">DATE(YEAR($C$5),MONTH($C$5)+0,1)</f>
        <v>46388</v>
      </c>
      <c r="D26" s="14" t="n">
        <v>8000</v>
      </c>
      <c r="E26" s="5" t="s">
        <v>46</v>
      </c>
    </row>
    <row r="27" customFormat="false" ht="15" hidden="false" customHeight="false" outlineLevel="0" collapsed="false">
      <c r="B27" s="12" t="s">
        <v>47</v>
      </c>
      <c r="C27" s="19" t="n">
        <f aca="false">DATE(YEAR($C$5),MONTH($C$5)+1,1)</f>
        <v>46419</v>
      </c>
      <c r="D27" s="14" t="n">
        <v>0</v>
      </c>
      <c r="E27" s="5"/>
    </row>
    <row r="28" customFormat="false" ht="15" hidden="false" customHeight="false" outlineLevel="0" collapsed="false">
      <c r="B28" s="12" t="s">
        <v>48</v>
      </c>
      <c r="C28" s="19" t="n">
        <f aca="false">DATE(YEAR($C$5),MONTH($C$5)+2,1)</f>
        <v>46447</v>
      </c>
      <c r="D28" s="14" t="n">
        <v>0</v>
      </c>
      <c r="E28" s="5"/>
    </row>
    <row r="29" customFormat="false" ht="15" hidden="false" customHeight="false" outlineLevel="0" collapsed="false">
      <c r="B29" s="12" t="s">
        <v>49</v>
      </c>
      <c r="C29" s="19" t="n">
        <f aca="false">DATE(YEAR($C$5),MONTH($C$5)+3,1)</f>
        <v>46478</v>
      </c>
      <c r="D29" s="14" t="n">
        <v>3500</v>
      </c>
      <c r="E29" s="5" t="s">
        <v>50</v>
      </c>
    </row>
    <row r="30" customFormat="false" ht="15" hidden="false" customHeight="false" outlineLevel="0" collapsed="false">
      <c r="B30" s="12" t="s">
        <v>51</v>
      </c>
      <c r="C30" s="19" t="n">
        <f aca="false">DATE(YEAR($C$5),MONTH($C$5)+4,1)</f>
        <v>46508</v>
      </c>
      <c r="D30" s="14" t="n">
        <v>0</v>
      </c>
      <c r="E30" s="5"/>
    </row>
    <row r="31" customFormat="false" ht="15" hidden="false" customHeight="false" outlineLevel="0" collapsed="false">
      <c r="B31" s="12" t="s">
        <v>52</v>
      </c>
      <c r="C31" s="19" t="n">
        <f aca="false">DATE(YEAR($C$5),MONTH($C$5)+5,1)</f>
        <v>46539</v>
      </c>
      <c r="D31" s="14" t="n">
        <v>0</v>
      </c>
      <c r="E31" s="5"/>
    </row>
    <row r="32" customFormat="false" ht="15" hidden="false" customHeight="false" outlineLevel="0" collapsed="false">
      <c r="B32" s="12" t="s">
        <v>53</v>
      </c>
      <c r="C32" s="19" t="n">
        <f aca="false">DATE(YEAR($C$5),MONTH($C$5)+6,1)</f>
        <v>46569</v>
      </c>
      <c r="D32" s="14" t="n">
        <v>0</v>
      </c>
      <c r="E32" s="5"/>
    </row>
    <row r="33" customFormat="false" ht="15" hidden="false" customHeight="false" outlineLevel="0" collapsed="false">
      <c r="B33" s="12" t="s">
        <v>54</v>
      </c>
      <c r="C33" s="19" t="n">
        <f aca="false">DATE(YEAR($C$5),MONTH($C$5)+7,1)</f>
        <v>46600</v>
      </c>
      <c r="D33" s="14" t="n">
        <v>0</v>
      </c>
      <c r="E33" s="5"/>
    </row>
    <row r="34" customFormat="false" ht="15" hidden="false" customHeight="false" outlineLevel="0" collapsed="false">
      <c r="B34" s="12" t="s">
        <v>55</v>
      </c>
      <c r="C34" s="19" t="n">
        <f aca="false">DATE(YEAR($C$5),MONTH($C$5)+8,1)</f>
        <v>46631</v>
      </c>
      <c r="D34" s="14" t="n">
        <v>12000</v>
      </c>
      <c r="E34" s="5" t="s">
        <v>56</v>
      </c>
    </row>
    <row r="35" customFormat="false" ht="15" hidden="false" customHeight="false" outlineLevel="0" collapsed="false">
      <c r="B35" s="12" t="s">
        <v>57</v>
      </c>
      <c r="C35" s="19" t="n">
        <f aca="false">DATE(YEAR($C$5),MONTH($C$5)+9,1)</f>
        <v>46661</v>
      </c>
      <c r="D35" s="14" t="n">
        <v>0</v>
      </c>
      <c r="E35" s="5"/>
    </row>
    <row r="36" customFormat="false" ht="15" hidden="false" customHeight="false" outlineLevel="0" collapsed="false">
      <c r="B36" s="12" t="s">
        <v>58</v>
      </c>
      <c r="C36" s="19" t="n">
        <f aca="false">DATE(YEAR($C$5),MONTH($C$5)+10,1)</f>
        <v>46692</v>
      </c>
      <c r="D36" s="14" t="n">
        <v>0</v>
      </c>
      <c r="E36" s="5"/>
    </row>
    <row r="37" customFormat="false" ht="15" hidden="false" customHeight="false" outlineLevel="0" collapsed="false">
      <c r="B37" s="12" t="s">
        <v>59</v>
      </c>
      <c r="C37" s="19" t="n">
        <f aca="false">DATE(YEAR($C$5),MONTH($C$5)+11,1)</f>
        <v>46722</v>
      </c>
      <c r="D37" s="14" t="n">
        <v>0</v>
      </c>
      <c r="E37" s="5"/>
    </row>
    <row r="38" customFormat="false" ht="15" hidden="false" customHeight="false" outlineLevel="0" collapsed="false">
      <c r="B38" s="17" t="s">
        <v>60</v>
      </c>
      <c r="C38" s="20"/>
      <c r="D38" s="18" t="n">
        <f aca="false">SUM(D26:D37)</f>
        <v>23500</v>
      </c>
    </row>
    <row r="40" customFormat="false" ht="19.5" hidden="false" customHeight="true" outlineLevel="0" collapsed="false">
      <c r="B40" s="3" t="s">
        <v>61</v>
      </c>
    </row>
    <row r="41" customFormat="false" ht="15" hidden="false" customHeight="false" outlineLevel="0" collapsed="false">
      <c r="B41" s="21" t="s">
        <v>62</v>
      </c>
      <c r="C41" s="22" t="s">
        <v>63</v>
      </c>
    </row>
    <row r="43" customFormat="false" ht="36" hidden="false" customHeight="true" outlineLevel="0" collapsed="false">
      <c r="B43" s="16" t="s">
        <v>64</v>
      </c>
      <c r="C43" s="16" t="s">
        <v>65</v>
      </c>
      <c r="D43" s="16" t="s">
        <v>66</v>
      </c>
      <c r="E43" s="16" t="s">
        <v>67</v>
      </c>
    </row>
    <row r="44" customFormat="false" ht="15" hidden="false" customHeight="false" outlineLevel="0" collapsed="false">
      <c r="B44" s="21" t="s">
        <v>68</v>
      </c>
      <c r="C44" s="23" t="n">
        <v>-0.02</v>
      </c>
      <c r="D44" s="23" t="n">
        <v>-0.1</v>
      </c>
      <c r="E44" s="24" t="n">
        <f aca="false">$C$7+C44</f>
        <v>0.01</v>
      </c>
    </row>
    <row r="45" customFormat="false" ht="15" hidden="false" customHeight="false" outlineLevel="0" collapsed="false">
      <c r="B45" s="21" t="s">
        <v>63</v>
      </c>
      <c r="C45" s="23" t="n">
        <v>0</v>
      </c>
      <c r="D45" s="23" t="n">
        <v>0</v>
      </c>
      <c r="E45" s="24" t="n">
        <f aca="false">$C$7+C45</f>
        <v>0.03</v>
      </c>
    </row>
    <row r="46" customFormat="false" ht="15" hidden="false" customHeight="false" outlineLevel="0" collapsed="false">
      <c r="B46" s="21" t="s">
        <v>69</v>
      </c>
      <c r="C46" s="23" t="n">
        <v>0.02</v>
      </c>
      <c r="D46" s="23" t="n">
        <v>0.1</v>
      </c>
      <c r="E46" s="24" t="n">
        <f aca="false">$C$7+C46</f>
        <v>0.05</v>
      </c>
    </row>
    <row r="47" customFormat="false" ht="15" hidden="false" customHeight="false" outlineLevel="0" collapsed="false">
      <c r="B47" s="11" t="s">
        <v>70</v>
      </c>
    </row>
  </sheetData>
  <dataValidations count="1">
    <dataValidation allowBlank="false" error="Escolha Pessimista, Base ou Otimista." errorStyle="stop" errorTitle="Cenário inválido" operator="between" showDropDown="false" showErrorMessage="false" showInputMessage="false" sqref="C41" type="list">
      <formula1>"Pessimista,Base,Otimista"</formula1>
      <formula2>0</formula2>
    </dataValidation>
  </dataValidations>
  <printOptions headings="false" gridLines="false" gridLinesSet="true" horizontalCentered="true" verticalCentered="false"/>
  <pageMargins left="0.5" right="0.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3" min="2" style="0" width="14"/>
    <col collapsed="false" customWidth="true" hidden="false" outlineLevel="0" max="14" min="14" style="0" width="16"/>
  </cols>
  <sheetData>
    <row r="1" customFormat="false" ht="27.75" hidden="false" customHeight="true" outlineLevel="0" collapsed="false">
      <c r="A1" s="10" t="s">
        <v>71</v>
      </c>
    </row>
    <row r="2" customFormat="false" ht="15" hidden="false" customHeight="false" outlineLevel="0" collapsed="false">
      <c r="A2" s="11" t="s">
        <v>72</v>
      </c>
    </row>
    <row r="4" customFormat="false" ht="15" hidden="false" customHeight="false" outlineLevel="0" collapsed="false">
      <c r="A4" s="17" t="s">
        <v>73</v>
      </c>
      <c r="B4" s="25" t="str">
        <f aca="false">Premissas!$C$41</f>
        <v>Base</v>
      </c>
      <c r="C4" s="17" t="s">
        <v>74</v>
      </c>
      <c r="D4" s="17"/>
      <c r="E4" s="26" t="n">
        <f aca="false">IFERROR(INDEX(Premissas!$C$44:$C$46,MATCH(Premissas!$C$41,Premissas!$B$44:$B$46,0)),0)+Premissas!$C$7</f>
        <v>0.03</v>
      </c>
      <c r="F4" s="17" t="s">
        <v>75</v>
      </c>
      <c r="G4" s="17"/>
      <c r="H4" s="27" t="n">
        <f aca="false">IFERROR(INDEX(Premissas!$D$44:$D$46,MATCH(Premissas!$C$41,Premissas!$B$44:$B$46,0)),0)</f>
        <v>0</v>
      </c>
    </row>
    <row r="6" customFormat="false" ht="21.75" hidden="false" customHeight="true" outlineLevel="0" collapsed="false">
      <c r="A6" s="16" t="s">
        <v>76</v>
      </c>
      <c r="B6" s="16" t="s">
        <v>45</v>
      </c>
      <c r="C6" s="16" t="s">
        <v>47</v>
      </c>
      <c r="D6" s="16" t="s">
        <v>48</v>
      </c>
      <c r="E6" s="16" t="s">
        <v>49</v>
      </c>
      <c r="F6" s="16" t="s">
        <v>51</v>
      </c>
      <c r="G6" s="16" t="s">
        <v>52</v>
      </c>
      <c r="H6" s="16" t="s">
        <v>53</v>
      </c>
      <c r="I6" s="16" t="s">
        <v>54</v>
      </c>
      <c r="J6" s="16" t="s">
        <v>55</v>
      </c>
      <c r="K6" s="16" t="s">
        <v>57</v>
      </c>
      <c r="L6" s="16" t="s">
        <v>58</v>
      </c>
      <c r="M6" s="16" t="s">
        <v>59</v>
      </c>
      <c r="N6" s="16" t="s">
        <v>77</v>
      </c>
    </row>
    <row r="7" customFormat="false" ht="15" hidden="false" customHeight="false" outlineLevel="0" collapsed="false">
      <c r="A7" s="17" t="s">
        <v>78</v>
      </c>
      <c r="B7" s="28" t="n">
        <f aca="false">DATE(YEAR(Premissas!$C$5),MONTH(Premissas!$C$5)+0,1)</f>
        <v>46388</v>
      </c>
      <c r="C7" s="28" t="n">
        <f aca="false">DATE(YEAR(Premissas!$C$5),MONTH(Premissas!$C$5)+1,1)</f>
        <v>46419</v>
      </c>
      <c r="D7" s="28" t="n">
        <f aca="false">DATE(YEAR(Premissas!$C$5),MONTH(Premissas!$C$5)+2,1)</f>
        <v>46447</v>
      </c>
      <c r="E7" s="28" t="n">
        <f aca="false">DATE(YEAR(Premissas!$C$5),MONTH(Premissas!$C$5)+3,1)</f>
        <v>46478</v>
      </c>
      <c r="F7" s="28" t="n">
        <f aca="false">DATE(YEAR(Premissas!$C$5),MONTH(Premissas!$C$5)+4,1)</f>
        <v>46508</v>
      </c>
      <c r="G7" s="28" t="n">
        <f aca="false">DATE(YEAR(Premissas!$C$5),MONTH(Premissas!$C$5)+5,1)</f>
        <v>46539</v>
      </c>
      <c r="H7" s="28" t="n">
        <f aca="false">DATE(YEAR(Premissas!$C$5),MONTH(Premissas!$C$5)+6,1)</f>
        <v>46569</v>
      </c>
      <c r="I7" s="28" t="n">
        <f aca="false">DATE(YEAR(Premissas!$C$5),MONTH(Premissas!$C$5)+7,1)</f>
        <v>46600</v>
      </c>
      <c r="J7" s="28" t="n">
        <f aca="false">DATE(YEAR(Premissas!$C$5),MONTH(Premissas!$C$5)+8,1)</f>
        <v>46631</v>
      </c>
      <c r="K7" s="28" t="n">
        <f aca="false">DATE(YEAR(Premissas!$C$5),MONTH(Premissas!$C$5)+9,1)</f>
        <v>46661</v>
      </c>
      <c r="L7" s="28" t="n">
        <f aca="false">DATE(YEAR(Premissas!$C$5),MONTH(Premissas!$C$5)+10,1)</f>
        <v>46692</v>
      </c>
      <c r="M7" s="28" t="n">
        <f aca="false">DATE(YEAR(Premissas!$C$5),MONTH(Premissas!$C$5)+11,1)</f>
        <v>46722</v>
      </c>
      <c r="N7" s="20"/>
    </row>
    <row r="8" customFormat="false" ht="15" hidden="false" customHeight="false" outlineLevel="0" collapsed="false">
      <c r="A8" s="17" t="s">
        <v>79</v>
      </c>
      <c r="B8" s="18" t="n">
        <f aca="false">Premissas!$C$6*(1+$H$4)</f>
        <v>60000</v>
      </c>
      <c r="C8" s="18" t="n">
        <f aca="false">B8*(1+$E$4)</f>
        <v>61800</v>
      </c>
      <c r="D8" s="18" t="n">
        <f aca="false">C8*(1+$E$4)</f>
        <v>63654</v>
      </c>
      <c r="E8" s="18" t="n">
        <f aca="false">D8*(1+$E$4)</f>
        <v>65563.62</v>
      </c>
      <c r="F8" s="18" t="n">
        <f aca="false">E8*(1+$E$4)</f>
        <v>67530.5286</v>
      </c>
      <c r="G8" s="18" t="n">
        <f aca="false">F8*(1+$E$4)</f>
        <v>69556.444458</v>
      </c>
      <c r="H8" s="18" t="n">
        <f aca="false">G8*(1+$E$4)</f>
        <v>71643.13779174</v>
      </c>
      <c r="I8" s="18" t="n">
        <f aca="false">H8*(1+$E$4)</f>
        <v>73792.4319254922</v>
      </c>
      <c r="J8" s="18" t="n">
        <f aca="false">I8*(1+$E$4)</f>
        <v>76006.204883257</v>
      </c>
      <c r="K8" s="18" t="n">
        <f aca="false">J8*(1+$E$4)</f>
        <v>78286.3910297547</v>
      </c>
      <c r="L8" s="18" t="n">
        <f aca="false">K8*(1+$E$4)</f>
        <v>80634.9827606473</v>
      </c>
      <c r="M8" s="18" t="n">
        <f aca="false">L8*(1+$E$4)</f>
        <v>83054.0322434668</v>
      </c>
      <c r="N8" s="18" t="n">
        <f aca="false">SUM(B8:M8)</f>
        <v>851521.773692358</v>
      </c>
    </row>
    <row r="9" customFormat="false" ht="15" hidden="false" customHeight="false" outlineLevel="0" collapsed="false">
      <c r="A9" s="12" t="s">
        <v>80</v>
      </c>
      <c r="B9" s="29" t="n">
        <f aca="false">B8*Premissas!$C$9</f>
        <v>4800</v>
      </c>
      <c r="C9" s="29" t="n">
        <f aca="false">C8*Premissas!$C$9</f>
        <v>4944</v>
      </c>
      <c r="D9" s="29" t="n">
        <f aca="false">D8*Premissas!$C$9</f>
        <v>5092.32</v>
      </c>
      <c r="E9" s="29" t="n">
        <f aca="false">E8*Premissas!$C$9</f>
        <v>5245.0896</v>
      </c>
      <c r="F9" s="29" t="n">
        <f aca="false">F8*Premissas!$C$9</f>
        <v>5402.442288</v>
      </c>
      <c r="G9" s="29" t="n">
        <f aca="false">G8*Premissas!$C$9</f>
        <v>5564.51555664</v>
      </c>
      <c r="H9" s="29" t="n">
        <f aca="false">H8*Premissas!$C$9</f>
        <v>5731.4510233392</v>
      </c>
      <c r="I9" s="29" t="n">
        <f aca="false">I8*Premissas!$C$9</f>
        <v>5903.39455403938</v>
      </c>
      <c r="J9" s="29" t="n">
        <f aca="false">J8*Premissas!$C$9</f>
        <v>6080.49639066056</v>
      </c>
      <c r="K9" s="29" t="n">
        <f aca="false">K8*Premissas!$C$9</f>
        <v>6262.91128238037</v>
      </c>
      <c r="L9" s="29" t="n">
        <f aca="false">L8*Premissas!$C$9</f>
        <v>6450.79862085179</v>
      </c>
      <c r="M9" s="29" t="n">
        <f aca="false">M8*Premissas!$C$9</f>
        <v>6644.32257947734</v>
      </c>
      <c r="N9" s="18" t="n">
        <f aca="false">SUM(B9:M9)</f>
        <v>68121.7418953886</v>
      </c>
    </row>
    <row r="10" customFormat="false" ht="15" hidden="false" customHeight="false" outlineLevel="0" collapsed="false">
      <c r="A10" s="12" t="s">
        <v>81</v>
      </c>
      <c r="B10" s="29" t="n">
        <f aca="false">B8*Premissas!$C$8</f>
        <v>22800</v>
      </c>
      <c r="C10" s="29" t="n">
        <f aca="false">C8*Premissas!$C$8</f>
        <v>23484</v>
      </c>
      <c r="D10" s="29" t="n">
        <f aca="false">D8*Premissas!$C$8</f>
        <v>24188.52</v>
      </c>
      <c r="E10" s="29" t="n">
        <f aca="false">E8*Premissas!$C$8</f>
        <v>24914.1756</v>
      </c>
      <c r="F10" s="29" t="n">
        <f aca="false">F8*Premissas!$C$8</f>
        <v>25661.600868</v>
      </c>
      <c r="G10" s="29" t="n">
        <f aca="false">G8*Premissas!$C$8</f>
        <v>26431.44889404</v>
      </c>
      <c r="H10" s="29" t="n">
        <f aca="false">H8*Premissas!$C$8</f>
        <v>27224.3923608612</v>
      </c>
      <c r="I10" s="29" t="n">
        <f aca="false">I8*Premissas!$C$8</f>
        <v>28041.124131687</v>
      </c>
      <c r="J10" s="29" t="n">
        <f aca="false">J8*Premissas!$C$8</f>
        <v>28882.3578556377</v>
      </c>
      <c r="K10" s="29" t="n">
        <f aca="false">K8*Premissas!$C$8</f>
        <v>29748.8285913068</v>
      </c>
      <c r="L10" s="29" t="n">
        <f aca="false">L8*Premissas!$C$8</f>
        <v>30641.293449046</v>
      </c>
      <c r="M10" s="29" t="n">
        <f aca="false">M8*Premissas!$C$8</f>
        <v>31560.5322525174</v>
      </c>
      <c r="N10" s="18" t="n">
        <f aca="false">SUM(B10:M10)</f>
        <v>323578.274003096</v>
      </c>
    </row>
    <row r="11" customFormat="false" ht="15" hidden="false" customHeight="false" outlineLevel="0" collapsed="false">
      <c r="A11" s="17" t="s">
        <v>82</v>
      </c>
      <c r="B11" s="18" t="n">
        <f aca="false">B8-B9-B10</f>
        <v>32400</v>
      </c>
      <c r="C11" s="18" t="n">
        <f aca="false">C8-C9-C10</f>
        <v>33372</v>
      </c>
      <c r="D11" s="18" t="n">
        <f aca="false">D8-D9-D10</f>
        <v>34373.16</v>
      </c>
      <c r="E11" s="18" t="n">
        <f aca="false">E8-E9-E10</f>
        <v>35404.3548</v>
      </c>
      <c r="F11" s="18" t="n">
        <f aca="false">F8-F9-F10</f>
        <v>36466.485444</v>
      </c>
      <c r="G11" s="18" t="n">
        <f aca="false">G8-G9-G10</f>
        <v>37560.48000732</v>
      </c>
      <c r="H11" s="18" t="n">
        <f aca="false">H8-H9-H10</f>
        <v>38687.2944075396</v>
      </c>
      <c r="I11" s="18" t="n">
        <f aca="false">I8-I9-I10</f>
        <v>39847.9132397658</v>
      </c>
      <c r="J11" s="18" t="n">
        <f aca="false">J8-J9-J10</f>
        <v>41043.3506369588</v>
      </c>
      <c r="K11" s="18" t="n">
        <f aca="false">K8-K9-K10</f>
        <v>42274.6511560675</v>
      </c>
      <c r="L11" s="18" t="n">
        <f aca="false">L8-L9-L10</f>
        <v>43542.8906907496</v>
      </c>
      <c r="M11" s="18" t="n">
        <f aca="false">M8-M9-M10</f>
        <v>44849.177411472</v>
      </c>
      <c r="N11" s="18" t="n">
        <f aca="false">SUM(B11:M11)</f>
        <v>459821.757793873</v>
      </c>
    </row>
    <row r="12" customFormat="false" ht="15" hidden="false" customHeight="false" outlineLevel="0" collapsed="false">
      <c r="A12" s="30" t="s">
        <v>83</v>
      </c>
      <c r="B12" s="31" t="n">
        <f aca="false">IFERROR(B11/B8,0)</f>
        <v>0.54</v>
      </c>
      <c r="C12" s="31" t="n">
        <f aca="false">IFERROR(C11/C8,0)</f>
        <v>0.54</v>
      </c>
      <c r="D12" s="31" t="n">
        <f aca="false">IFERROR(D11/D8,0)</f>
        <v>0.54</v>
      </c>
      <c r="E12" s="31" t="n">
        <f aca="false">IFERROR(E11/E8,0)</f>
        <v>0.54</v>
      </c>
      <c r="F12" s="31" t="n">
        <f aca="false">IFERROR(F11/F8,0)</f>
        <v>0.54</v>
      </c>
      <c r="G12" s="31" t="n">
        <f aca="false">IFERROR(G11/G8,0)</f>
        <v>0.54</v>
      </c>
      <c r="H12" s="31" t="n">
        <f aca="false">IFERROR(H11/H8,0)</f>
        <v>0.54</v>
      </c>
      <c r="I12" s="31" t="n">
        <f aca="false">IFERROR(I11/I8,0)</f>
        <v>0.54</v>
      </c>
      <c r="J12" s="31" t="n">
        <f aca="false">IFERROR(J11/J8,0)</f>
        <v>0.54</v>
      </c>
      <c r="K12" s="31" t="n">
        <f aca="false">IFERROR(K11/K8,0)</f>
        <v>0.54</v>
      </c>
      <c r="L12" s="31" t="n">
        <f aca="false">IFERROR(L11/L8,0)</f>
        <v>0.54</v>
      </c>
      <c r="M12" s="31" t="n">
        <f aca="false">IFERROR(M11/M8,0)</f>
        <v>0.54</v>
      </c>
      <c r="N12" s="26" t="n">
        <f aca="false">IFERROR(N11/N8,0)</f>
        <v>0.54</v>
      </c>
    </row>
    <row r="13" customFormat="false" ht="15" hidden="false" customHeight="false" outlineLevel="0" collapsed="false">
      <c r="A13" s="12" t="s">
        <v>84</v>
      </c>
      <c r="B13" s="29" t="n">
        <f aca="false">Premissas!$C$22</f>
        <v>30000</v>
      </c>
      <c r="C13" s="29" t="n">
        <f aca="false">Premissas!$C$22</f>
        <v>30000</v>
      </c>
      <c r="D13" s="29" t="n">
        <f aca="false">Premissas!$C$22</f>
        <v>30000</v>
      </c>
      <c r="E13" s="29" t="n">
        <f aca="false">Premissas!$C$22</f>
        <v>30000</v>
      </c>
      <c r="F13" s="29" t="n">
        <f aca="false">Premissas!$C$22</f>
        <v>30000</v>
      </c>
      <c r="G13" s="29" t="n">
        <f aca="false">Premissas!$C$22</f>
        <v>30000</v>
      </c>
      <c r="H13" s="29" t="n">
        <f aca="false">Premissas!$C$22</f>
        <v>30000</v>
      </c>
      <c r="I13" s="29" t="n">
        <f aca="false">Premissas!$C$22</f>
        <v>30000</v>
      </c>
      <c r="J13" s="29" t="n">
        <f aca="false">Premissas!$C$22</f>
        <v>30000</v>
      </c>
      <c r="K13" s="29" t="n">
        <f aca="false">Premissas!$C$22</f>
        <v>30000</v>
      </c>
      <c r="L13" s="29" t="n">
        <f aca="false">Premissas!$C$22</f>
        <v>30000</v>
      </c>
      <c r="M13" s="29" t="n">
        <f aca="false">Premissas!$C$22</f>
        <v>30000</v>
      </c>
      <c r="N13" s="18" t="n">
        <f aca="false">SUM(B13:M13)</f>
        <v>360000</v>
      </c>
    </row>
    <row r="14" customFormat="false" ht="15" hidden="false" customHeight="false" outlineLevel="0" collapsed="false">
      <c r="A14" s="17" t="s">
        <v>85</v>
      </c>
      <c r="B14" s="18" t="n">
        <f aca="false">B11-B13</f>
        <v>2400</v>
      </c>
      <c r="C14" s="18" t="n">
        <f aca="false">C11-C13</f>
        <v>3372</v>
      </c>
      <c r="D14" s="18" t="n">
        <f aca="false">D11-D13</f>
        <v>4373.16</v>
      </c>
      <c r="E14" s="18" t="n">
        <f aca="false">E11-E13</f>
        <v>5404.3548</v>
      </c>
      <c r="F14" s="18" t="n">
        <f aca="false">F11-F13</f>
        <v>6466.48544399999</v>
      </c>
      <c r="G14" s="18" t="n">
        <f aca="false">G11-G13</f>
        <v>7560.48000732</v>
      </c>
      <c r="H14" s="18" t="n">
        <f aca="false">H11-H13</f>
        <v>8687.29440753961</v>
      </c>
      <c r="I14" s="18" t="n">
        <f aca="false">I11-I13</f>
        <v>9847.91323976579</v>
      </c>
      <c r="J14" s="18" t="n">
        <f aca="false">J11-J13</f>
        <v>11043.3506369588</v>
      </c>
      <c r="K14" s="18" t="n">
        <f aca="false">K11-K13</f>
        <v>12274.6511560675</v>
      </c>
      <c r="L14" s="18" t="n">
        <f aca="false">L11-L13</f>
        <v>13542.8906907496</v>
      </c>
      <c r="M14" s="18" t="n">
        <f aca="false">M11-M13</f>
        <v>14849.177411472</v>
      </c>
      <c r="N14" s="18" t="n">
        <f aca="false">SUM(B14:M14)</f>
        <v>99821.7577938733</v>
      </c>
    </row>
    <row r="15" customFormat="false" ht="15" hidden="false" customHeight="false" outlineLevel="0" collapsed="false">
      <c r="A15" s="30" t="s">
        <v>86</v>
      </c>
      <c r="B15" s="31" t="n">
        <f aca="false">IFERROR(B14/B8,0)</f>
        <v>0.04</v>
      </c>
      <c r="C15" s="31" t="n">
        <f aca="false">IFERROR(C14/C8,0)</f>
        <v>0.0545631067961165</v>
      </c>
      <c r="D15" s="31" t="n">
        <f aca="false">IFERROR(D14/D8,0)</f>
        <v>0.0687020454331229</v>
      </c>
      <c r="E15" s="31" t="n">
        <f aca="false">IFERROR(E14/E8,0)</f>
        <v>0.0824291703234202</v>
      </c>
      <c r="F15" s="31" t="n">
        <f aca="false">IFERROR(F14/F8,0)</f>
        <v>0.0957564760421554</v>
      </c>
      <c r="G15" s="31" t="n">
        <f aca="false">IFERROR(G14/G8,0)</f>
        <v>0.108695607807918</v>
      </c>
      <c r="H15" s="31" t="n">
        <f aca="false">IFERROR(H14/H8,0)</f>
        <v>0.121257871658173</v>
      </c>
      <c r="I15" s="31" t="n">
        <f aca="false">IFERROR(I14/I8,0)</f>
        <v>0.133454244328323</v>
      </c>
      <c r="J15" s="31" t="n">
        <f aca="false">IFERROR(J14/J8,0)</f>
        <v>0.145295382843032</v>
      </c>
      <c r="K15" s="31" t="n">
        <f aca="false">IFERROR(K14/K8,0)</f>
        <v>0.156791633828187</v>
      </c>
      <c r="L15" s="31" t="n">
        <f aca="false">IFERROR(L14/L8,0)</f>
        <v>0.167953042551637</v>
      </c>
      <c r="M15" s="31" t="n">
        <f aca="false">IFERROR(M14/M8,0)</f>
        <v>0.178789361700619</v>
      </c>
      <c r="N15" s="26" t="n">
        <f aca="false">IFERROR(N14/N8,0)</f>
        <v>0.117227487162222</v>
      </c>
    </row>
    <row r="16" customFormat="false" ht="15" hidden="false" customHeight="false" outlineLevel="0" collapsed="false">
      <c r="A16" s="12" t="s">
        <v>87</v>
      </c>
      <c r="B16" s="29" t="n">
        <f aca="false">Premissas!$D$26</f>
        <v>8000</v>
      </c>
      <c r="C16" s="29" t="n">
        <f aca="false">Premissas!$D$27</f>
        <v>0</v>
      </c>
      <c r="D16" s="29" t="n">
        <f aca="false">Premissas!$D$28</f>
        <v>0</v>
      </c>
      <c r="E16" s="29" t="n">
        <f aca="false">Premissas!$D$29</f>
        <v>3500</v>
      </c>
      <c r="F16" s="29" t="n">
        <f aca="false">Premissas!$D$30</f>
        <v>0</v>
      </c>
      <c r="G16" s="29" t="n">
        <f aca="false">Premissas!$D$31</f>
        <v>0</v>
      </c>
      <c r="H16" s="29" t="n">
        <f aca="false">Premissas!$D$32</f>
        <v>0</v>
      </c>
      <c r="I16" s="29" t="n">
        <f aca="false">Premissas!$D$33</f>
        <v>0</v>
      </c>
      <c r="J16" s="29" t="n">
        <f aca="false">Premissas!$D$34</f>
        <v>12000</v>
      </c>
      <c r="K16" s="29" t="n">
        <f aca="false">Premissas!$D$35</f>
        <v>0</v>
      </c>
      <c r="L16" s="29" t="n">
        <f aca="false">Premissas!$D$36</f>
        <v>0</v>
      </c>
      <c r="M16" s="29" t="n">
        <f aca="false">Premissas!$D$37</f>
        <v>0</v>
      </c>
      <c r="N16" s="18" t="n">
        <f aca="false">SUM(B16:M16)</f>
        <v>23500</v>
      </c>
    </row>
    <row r="17" customFormat="false" ht="15" hidden="false" customHeight="false" outlineLevel="0" collapsed="false">
      <c r="A17" s="17" t="s">
        <v>88</v>
      </c>
      <c r="B17" s="18" t="n">
        <f aca="false">B14-B16</f>
        <v>-5600</v>
      </c>
      <c r="C17" s="18" t="n">
        <f aca="false">C14-C16</f>
        <v>3372</v>
      </c>
      <c r="D17" s="18" t="n">
        <f aca="false">D14-D16</f>
        <v>4373.16</v>
      </c>
      <c r="E17" s="18" t="n">
        <f aca="false">E14-E16</f>
        <v>1904.3548</v>
      </c>
      <c r="F17" s="18" t="n">
        <f aca="false">F14-F16</f>
        <v>6466.48544399999</v>
      </c>
      <c r="G17" s="18" t="n">
        <f aca="false">G14-G16</f>
        <v>7560.48000732</v>
      </c>
      <c r="H17" s="18" t="n">
        <f aca="false">H14-H16</f>
        <v>8687.29440753961</v>
      </c>
      <c r="I17" s="18" t="n">
        <f aca="false">I14-I16</f>
        <v>9847.91323976579</v>
      </c>
      <c r="J17" s="18" t="n">
        <f aca="false">J14-J16</f>
        <v>-956.64936304123</v>
      </c>
      <c r="K17" s="18" t="n">
        <f aca="false">K14-K16</f>
        <v>12274.6511560675</v>
      </c>
      <c r="L17" s="18" t="n">
        <f aca="false">L14-L16</f>
        <v>13542.8906907496</v>
      </c>
      <c r="M17" s="18" t="n">
        <f aca="false">M14-M16</f>
        <v>14849.177411472</v>
      </c>
      <c r="N17" s="18" t="n">
        <f aca="false">SUM(B17:M17)</f>
        <v>76321.7577938733</v>
      </c>
    </row>
    <row r="18" customFormat="false" ht="15" hidden="false" customHeight="false" outlineLevel="0" collapsed="false">
      <c r="A18" s="17" t="s">
        <v>89</v>
      </c>
      <c r="B18" s="18" t="n">
        <f aca="false">Premissas!$C$10+B17</f>
        <v>19400</v>
      </c>
      <c r="C18" s="18" t="n">
        <f aca="false">B18+C17</f>
        <v>22772</v>
      </c>
      <c r="D18" s="18" t="n">
        <f aca="false">C18+D17</f>
        <v>27145.16</v>
      </c>
      <c r="E18" s="18" t="n">
        <f aca="false">D18+E17</f>
        <v>29049.5148</v>
      </c>
      <c r="F18" s="18" t="n">
        <f aca="false">E18+F17</f>
        <v>35516.000244</v>
      </c>
      <c r="G18" s="18" t="n">
        <f aca="false">F18+G17</f>
        <v>43076.48025132</v>
      </c>
      <c r="H18" s="18" t="n">
        <f aca="false">G18+H17</f>
        <v>51763.7746588596</v>
      </c>
      <c r="I18" s="18" t="n">
        <f aca="false">H18+I17</f>
        <v>61611.6878986254</v>
      </c>
      <c r="J18" s="18" t="n">
        <f aca="false">I18+J17</f>
        <v>60655.0385355842</v>
      </c>
      <c r="K18" s="18" t="n">
        <f aca="false">J18+K17</f>
        <v>72929.6896916517</v>
      </c>
      <c r="L18" s="18" t="n">
        <f aca="false">K18+L17</f>
        <v>86472.5803824013</v>
      </c>
      <c r="M18" s="18" t="n">
        <f aca="false">L18+M17</f>
        <v>101321.757793873</v>
      </c>
      <c r="N18" s="18" t="n">
        <f aca="false">M18</f>
        <v>101321.757793873</v>
      </c>
    </row>
    <row r="20" customFormat="false" ht="19.5" hidden="false" customHeight="true" outlineLevel="0" collapsed="false">
      <c r="A20" s="3" t="s">
        <v>90</v>
      </c>
    </row>
    <row r="21" customFormat="false" ht="15" hidden="false" customHeight="false" outlineLevel="0" collapsed="false">
      <c r="A21" s="20" t="s">
        <v>91</v>
      </c>
      <c r="B21" s="18" t="n">
        <f aca="false">M18</f>
        <v>101321.757793873</v>
      </c>
      <c r="C21" s="18"/>
    </row>
    <row r="22" customFormat="false" ht="15" hidden="false" customHeight="false" outlineLevel="0" collapsed="false">
      <c r="A22" s="20" t="s">
        <v>92</v>
      </c>
      <c r="B22" s="18" t="n">
        <f aca="false">MIN(B18:M18)</f>
        <v>19400</v>
      </c>
      <c r="C22" s="18"/>
    </row>
    <row r="23" customFormat="false" ht="15" hidden="false" customHeight="false" outlineLevel="0" collapsed="false">
      <c r="A23" s="20" t="s">
        <v>93</v>
      </c>
      <c r="B23" s="32" t="str">
        <f aca="false">INDEX(B6:M6,MATCH(MIN(B18:M18),B18:M18,0))</f>
        <v>Mês 1</v>
      </c>
      <c r="C23" s="32"/>
    </row>
    <row r="24" customFormat="false" ht="15" hidden="false" customHeight="false" outlineLevel="0" collapsed="false">
      <c r="A24" s="20" t="s">
        <v>94</v>
      </c>
      <c r="B24" s="18" t="n">
        <f aca="false">MAX(0,-MIN(B18:M18))</f>
        <v>0</v>
      </c>
      <c r="C24" s="18"/>
    </row>
    <row r="25" customFormat="false" ht="15" hidden="false" customHeight="false" outlineLevel="0" collapsed="false">
      <c r="A25" s="20" t="s">
        <v>95</v>
      </c>
      <c r="B25" s="18" t="n">
        <f aca="false">N8/12</f>
        <v>70960.1478076965</v>
      </c>
      <c r="C25" s="18"/>
    </row>
    <row r="26" customFormat="false" ht="15" hidden="false" customHeight="false" outlineLevel="0" collapsed="false">
      <c r="A26" s="20" t="s">
        <v>96</v>
      </c>
      <c r="B26" s="18" t="n">
        <f aca="false">IFERROR(Premissas!$C$22/(1-Premissas!$C$9-Premissas!$C$8),0)</f>
        <v>55555.5555555556</v>
      </c>
      <c r="C26" s="18"/>
    </row>
    <row r="27" customFormat="false" ht="15" hidden="false" customHeight="false" outlineLevel="0" collapsed="false">
      <c r="A27" s="20" t="s">
        <v>97</v>
      </c>
      <c r="B27" s="32" t="str">
        <f aca="false">IFERROR(INDEX(B6:M6,MATCH(TRUE(),INDEX(B8:M8&gt;=B26,0),0)),"Não atinge")</f>
        <v>Mês 1</v>
      </c>
      <c r="C27" s="32"/>
    </row>
  </sheetData>
  <mergeCells count="9">
    <mergeCell ref="C4:D4"/>
    <mergeCell ref="F4:G4"/>
    <mergeCell ref="B21:C21"/>
    <mergeCell ref="B22:C22"/>
    <mergeCell ref="B23:C23"/>
    <mergeCell ref="B24:C24"/>
    <mergeCell ref="B25:C25"/>
    <mergeCell ref="B26:C26"/>
    <mergeCell ref="B27:C27"/>
  </mergeCells>
  <printOptions headings="false" gridLines="false" gridLinesSet="true" horizontalCentered="true" verticalCentered="false"/>
  <pageMargins left="0.5" right="0.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  <col collapsed="false" customWidth="true" hidden="false" outlineLevel="0" max="5" min="5" style="0" width="3"/>
    <col collapsed="false" customWidth="true" hidden="false" outlineLevel="0" max="18" min="6" style="0" width="13"/>
  </cols>
  <sheetData>
    <row r="1" customFormat="false" ht="27.75" hidden="false" customHeight="true" outlineLevel="0" collapsed="false">
      <c r="A1" s="10" t="s">
        <v>98</v>
      </c>
    </row>
    <row r="2" customFormat="false" ht="15" hidden="false" customHeight="false" outlineLevel="0" collapsed="false">
      <c r="A2" s="11" t="s">
        <v>99</v>
      </c>
    </row>
    <row r="4" customFormat="false" ht="21.75" hidden="false" customHeight="true" outlineLevel="0" collapsed="false">
      <c r="A4" s="16" t="s">
        <v>100</v>
      </c>
      <c r="B4" s="16" t="s">
        <v>68</v>
      </c>
      <c r="C4" s="16" t="s">
        <v>63</v>
      </c>
      <c r="D4" s="16" t="s">
        <v>69</v>
      </c>
    </row>
    <row r="5" customFormat="false" ht="15" hidden="false" customHeight="false" outlineLevel="0" collapsed="false">
      <c r="A5" s="12" t="s">
        <v>67</v>
      </c>
      <c r="B5" s="31" t="n">
        <f aca="false">Premissas!$E$44</f>
        <v>0.01</v>
      </c>
      <c r="C5" s="31" t="n">
        <f aca="false">Premissas!$E$45</f>
        <v>0.03</v>
      </c>
      <c r="D5" s="31" t="n">
        <f aca="false">Premissas!$E$46</f>
        <v>0.05</v>
      </c>
    </row>
    <row r="6" customFormat="false" ht="15" hidden="false" customHeight="false" outlineLevel="0" collapsed="false">
      <c r="A6" s="12" t="s">
        <v>101</v>
      </c>
      <c r="B6" s="29" t="n">
        <f aca="false">N22</f>
        <v>684855.162712637</v>
      </c>
      <c r="C6" s="29" t="n">
        <f aca="false">N25</f>
        <v>851521.773692358</v>
      </c>
      <c r="D6" s="29" t="n">
        <f aca="false">N28</f>
        <v>1050530.35034921</v>
      </c>
    </row>
    <row r="7" customFormat="false" ht="15" hidden="false" customHeight="false" outlineLevel="0" collapsed="false">
      <c r="A7" s="12" t="s">
        <v>102</v>
      </c>
      <c r="B7" s="29" t="n">
        <f aca="false">N22*Premissas!$C$9</f>
        <v>54788.4130170109</v>
      </c>
      <c r="C7" s="29" t="n">
        <f aca="false">N25*Premissas!$C$9</f>
        <v>68121.7418953886</v>
      </c>
      <c r="D7" s="29" t="n">
        <f aca="false">N28*Premissas!$C$9</f>
        <v>84042.4280279369</v>
      </c>
    </row>
    <row r="8" customFormat="false" ht="15" hidden="false" customHeight="false" outlineLevel="0" collapsed="false">
      <c r="A8" s="12" t="s">
        <v>103</v>
      </c>
      <c r="B8" s="29" t="n">
        <f aca="false">N22*Premissas!$C$8</f>
        <v>260244.961830802</v>
      </c>
      <c r="C8" s="29" t="n">
        <f aca="false">N25*Premissas!$C$8</f>
        <v>323578.274003096</v>
      </c>
      <c r="D8" s="29" t="n">
        <f aca="false">N28*Premissas!$C$8</f>
        <v>399201.5331327</v>
      </c>
    </row>
    <row r="9" customFormat="false" ht="15" hidden="false" customHeight="false" outlineLevel="0" collapsed="false">
      <c r="A9" s="17" t="s">
        <v>104</v>
      </c>
      <c r="B9" s="18" t="n">
        <f aca="false">B6-B7-B8</f>
        <v>369821.787864824</v>
      </c>
      <c r="C9" s="18" t="n">
        <f aca="false">C6-C7-C8</f>
        <v>459821.757793873</v>
      </c>
      <c r="D9" s="18" t="n">
        <f aca="false">D6-D7-D8</f>
        <v>567286.389188574</v>
      </c>
    </row>
    <row r="10" customFormat="false" ht="15" hidden="false" customHeight="false" outlineLevel="0" collapsed="false">
      <c r="A10" s="12" t="s">
        <v>105</v>
      </c>
      <c r="B10" s="29" t="n">
        <f aca="false">Premissas!$C$22*12</f>
        <v>360000</v>
      </c>
      <c r="C10" s="29" t="n">
        <f aca="false">Premissas!$C$22*12</f>
        <v>360000</v>
      </c>
      <c r="D10" s="29" t="n">
        <f aca="false">Premissas!$C$22*12</f>
        <v>360000</v>
      </c>
    </row>
    <row r="11" customFormat="false" ht="15" hidden="false" customHeight="false" outlineLevel="0" collapsed="false">
      <c r="A11" s="17" t="s">
        <v>106</v>
      </c>
      <c r="B11" s="18" t="n">
        <f aca="false">B9-B10</f>
        <v>9821.78786482371</v>
      </c>
      <c r="C11" s="18" t="n">
        <f aca="false">C9-C10</f>
        <v>99821.7577938733</v>
      </c>
      <c r="D11" s="18" t="n">
        <f aca="false">D9-D10</f>
        <v>207286.389188574</v>
      </c>
    </row>
    <row r="12" customFormat="false" ht="15" hidden="false" customHeight="false" outlineLevel="0" collapsed="false">
      <c r="A12" s="12" t="s">
        <v>86</v>
      </c>
      <c r="B12" s="31" t="n">
        <f aca="false">IFERROR(B11/B6,0)</f>
        <v>0.0143414088110553</v>
      </c>
      <c r="C12" s="31" t="n">
        <f aca="false">IFERROR(C11/C6,0)</f>
        <v>0.117227487162222</v>
      </c>
      <c r="D12" s="31" t="n">
        <f aca="false">IFERROR(D11/D6,0)</f>
        <v>0.197315945341007</v>
      </c>
    </row>
    <row r="13" customFormat="false" ht="15" hidden="false" customHeight="false" outlineLevel="0" collapsed="false">
      <c r="A13" s="12" t="s">
        <v>107</v>
      </c>
      <c r="B13" s="29" t="n">
        <f aca="false">Premissas!$D$38</f>
        <v>23500</v>
      </c>
      <c r="C13" s="29" t="n">
        <f aca="false">Premissas!$D$38</f>
        <v>23500</v>
      </c>
      <c r="D13" s="29" t="n">
        <f aca="false">Premissas!$D$38</f>
        <v>23500</v>
      </c>
    </row>
    <row r="14" customFormat="false" ht="15" hidden="false" customHeight="false" outlineLevel="0" collapsed="false">
      <c r="A14" s="17" t="s">
        <v>108</v>
      </c>
      <c r="B14" s="18" t="n">
        <f aca="false">N23</f>
        <v>-13678.2121351763</v>
      </c>
      <c r="C14" s="18" t="n">
        <f aca="false">N26</f>
        <v>76321.7577938733</v>
      </c>
      <c r="D14" s="18" t="n">
        <f aca="false">N29</f>
        <v>183786.389188574</v>
      </c>
    </row>
    <row r="15" customFormat="false" ht="15" hidden="false" customHeight="false" outlineLevel="0" collapsed="false">
      <c r="A15" s="17" t="s">
        <v>91</v>
      </c>
      <c r="B15" s="18" t="n">
        <f aca="false">N24</f>
        <v>11321.7878648237</v>
      </c>
      <c r="C15" s="18" t="n">
        <f aca="false">N27</f>
        <v>101321.757793873</v>
      </c>
      <c r="D15" s="18" t="n">
        <f aca="false">N30</f>
        <v>208786.389188574</v>
      </c>
    </row>
    <row r="16" customFormat="false" ht="15" hidden="false" customHeight="false" outlineLevel="0" collapsed="false">
      <c r="A16" s="12" t="s">
        <v>92</v>
      </c>
      <c r="B16" s="29" t="n">
        <f aca="false">MIN(B24:M24)</f>
        <v>4686.25514759641</v>
      </c>
      <c r="C16" s="29" t="n">
        <f aca="false">MIN(B27:M27)</f>
        <v>19400</v>
      </c>
      <c r="D16" s="29" t="n">
        <f aca="false">MIN(B30:M30)</f>
        <v>22640</v>
      </c>
    </row>
    <row r="17" customFormat="false" ht="15" hidden="false" customHeight="false" outlineLevel="0" collapsed="false">
      <c r="A17" s="12" t="s">
        <v>109</v>
      </c>
      <c r="B17" s="29" t="n">
        <f aca="false">MAX(0,-B16)</f>
        <v>0</v>
      </c>
      <c r="C17" s="29" t="n">
        <f aca="false">MAX(0,-C16)</f>
        <v>0</v>
      </c>
      <c r="D17" s="29" t="n">
        <f aca="false">MAX(0,-D16)</f>
        <v>0</v>
      </c>
    </row>
    <row r="19" customFormat="false" ht="15" hidden="false" customHeight="false" outlineLevel="0" collapsed="false">
      <c r="A19" s="11" t="s">
        <v>110</v>
      </c>
      <c r="B19" s="33" t="str">
        <f aca="false">Premissas!$C$41</f>
        <v>Base</v>
      </c>
    </row>
    <row r="20" customFormat="false" ht="19.5" hidden="false" customHeight="true" outlineLevel="0" collapsed="false">
      <c r="A20" s="3" t="s">
        <v>111</v>
      </c>
    </row>
    <row r="21" customFormat="false" ht="21.75" hidden="false" customHeight="true" outlineLevel="0" collapsed="false">
      <c r="A21" s="16" t="s">
        <v>76</v>
      </c>
      <c r="B21" s="16" t="s">
        <v>45</v>
      </c>
      <c r="C21" s="16" t="s">
        <v>47</v>
      </c>
      <c r="D21" s="16" t="s">
        <v>48</v>
      </c>
      <c r="E21" s="16" t="s">
        <v>49</v>
      </c>
      <c r="F21" s="16" t="s">
        <v>51</v>
      </c>
      <c r="G21" s="16" t="s">
        <v>52</v>
      </c>
      <c r="H21" s="16" t="s">
        <v>53</v>
      </c>
      <c r="I21" s="16" t="s">
        <v>54</v>
      </c>
      <c r="J21" s="16" t="s">
        <v>55</v>
      </c>
      <c r="K21" s="16" t="s">
        <v>57</v>
      </c>
      <c r="L21" s="16" t="s">
        <v>58</v>
      </c>
      <c r="M21" s="16" t="s">
        <v>59</v>
      </c>
      <c r="N21" s="16" t="s">
        <v>112</v>
      </c>
    </row>
    <row r="22" customFormat="false" ht="15" hidden="false" customHeight="false" outlineLevel="0" collapsed="false">
      <c r="A22" s="12" t="s">
        <v>113</v>
      </c>
      <c r="B22" s="29" t="n">
        <f aca="false">Premissas!$C$6*(1+Premissas!$D$44)</f>
        <v>54000</v>
      </c>
      <c r="C22" s="29" t="n">
        <f aca="false">B22*(1+Premissas!$E$44)</f>
        <v>54540</v>
      </c>
      <c r="D22" s="29" t="n">
        <f aca="false">C22*(1+Premissas!$E$44)</f>
        <v>55085.4</v>
      </c>
      <c r="E22" s="29" t="n">
        <f aca="false">D22*(1+Premissas!$E$44)</f>
        <v>55636.254</v>
      </c>
      <c r="F22" s="29" t="n">
        <f aca="false">E22*(1+Premissas!$E$44)</f>
        <v>56192.61654</v>
      </c>
      <c r="G22" s="29" t="n">
        <f aca="false">F22*(1+Premissas!$E$44)</f>
        <v>56754.5427054</v>
      </c>
      <c r="H22" s="29" t="n">
        <f aca="false">G22*(1+Premissas!$E$44)</f>
        <v>57322.088132454</v>
      </c>
      <c r="I22" s="29" t="n">
        <f aca="false">H22*(1+Premissas!$E$44)</f>
        <v>57895.3090137785</v>
      </c>
      <c r="J22" s="29" t="n">
        <f aca="false">I22*(1+Premissas!$E$44)</f>
        <v>58474.2621039163</v>
      </c>
      <c r="K22" s="29" t="n">
        <f aca="false">J22*(1+Premissas!$E$44)</f>
        <v>59059.0047249555</v>
      </c>
      <c r="L22" s="29" t="n">
        <f aca="false">K22*(1+Premissas!$E$44)</f>
        <v>59649.5947722051</v>
      </c>
      <c r="M22" s="29" t="n">
        <f aca="false">L22*(1+Premissas!$E$44)</f>
        <v>60246.0907199271</v>
      </c>
      <c r="N22" s="18" t="n">
        <f aca="false">SUM(B22:M22)</f>
        <v>684855.162712637</v>
      </c>
    </row>
    <row r="23" customFormat="false" ht="15" hidden="false" customHeight="false" outlineLevel="0" collapsed="false">
      <c r="A23" s="12" t="s">
        <v>114</v>
      </c>
      <c r="B23" s="29" t="n">
        <f aca="false">B22*(1-Premissas!$C$9-Premissas!$C$8)-Premissas!$C$22-Premissas!$D$26</f>
        <v>-8840</v>
      </c>
      <c r="C23" s="29" t="n">
        <f aca="false">C22*(1-Premissas!$C$9-Premissas!$C$8)-Premissas!$C$22-Premissas!$D$27</f>
        <v>-548.399999999998</v>
      </c>
      <c r="D23" s="29" t="n">
        <f aca="false">D22*(1-Premissas!$C$9-Premissas!$C$8)-Premissas!$C$22-Premissas!$D$28</f>
        <v>-253.883999999998</v>
      </c>
      <c r="E23" s="29" t="n">
        <f aca="false">E22*(1-Premissas!$C$9-Premissas!$C$8)-Premissas!$C$22-Premissas!$D$29</f>
        <v>-3456.42284</v>
      </c>
      <c r="F23" s="29" t="n">
        <f aca="false">F22*(1-Premissas!$C$9-Premissas!$C$8)-Premissas!$C$22-Premissas!$D$30</f>
        <v>344.012931600002</v>
      </c>
      <c r="G23" s="29" t="n">
        <f aca="false">G22*(1-Premissas!$C$9-Premissas!$C$8)-Premissas!$C$22-Premissas!$D$31</f>
        <v>647.453060916003</v>
      </c>
      <c r="H23" s="29" t="n">
        <f aca="false">H22*(1-Premissas!$C$9-Premissas!$C$8)-Premissas!$C$22-Premissas!$D$32</f>
        <v>953.927591525164</v>
      </c>
      <c r="I23" s="29" t="n">
        <f aca="false">I22*(1-Premissas!$C$9-Premissas!$C$8)-Premissas!$C$22-Premissas!$D$33</f>
        <v>1263.46686744041</v>
      </c>
      <c r="J23" s="29" t="n">
        <f aca="false">J22*(1-Premissas!$C$9-Premissas!$C$8)-Premissas!$C$22-Premissas!$D$34</f>
        <v>-10423.8984638852</v>
      </c>
      <c r="K23" s="29" t="n">
        <f aca="false">K22*(1-Premissas!$C$9-Premissas!$C$8)-Premissas!$C$22-Premissas!$D$35</f>
        <v>1891.86255147597</v>
      </c>
      <c r="L23" s="29" t="n">
        <f aca="false">L22*(1-Premissas!$C$9-Premissas!$C$8)-Premissas!$C$22-Premissas!$D$36</f>
        <v>2210.78117699073</v>
      </c>
      <c r="M23" s="29" t="n">
        <f aca="false">M22*(1-Premissas!$C$9-Premissas!$C$8)-Premissas!$C$22-Premissas!$D$37</f>
        <v>2532.88898876064</v>
      </c>
      <c r="N23" s="18" t="n">
        <f aca="false">SUM(B23:M23)</f>
        <v>-13678.2121351763</v>
      </c>
    </row>
    <row r="24" customFormat="false" ht="15" hidden="false" customHeight="false" outlineLevel="0" collapsed="false">
      <c r="A24" s="17" t="s">
        <v>115</v>
      </c>
      <c r="B24" s="18" t="n">
        <f aca="false">Premissas!$C$10+B23</f>
        <v>16160</v>
      </c>
      <c r="C24" s="18" t="n">
        <f aca="false">B24+C23</f>
        <v>15611.6</v>
      </c>
      <c r="D24" s="18" t="n">
        <f aca="false">C24+D23</f>
        <v>15357.716</v>
      </c>
      <c r="E24" s="18" t="n">
        <f aca="false">D24+E23</f>
        <v>11901.29316</v>
      </c>
      <c r="F24" s="18" t="n">
        <f aca="false">E24+F23</f>
        <v>12245.3060916</v>
      </c>
      <c r="G24" s="18" t="n">
        <f aca="false">F24+G23</f>
        <v>12892.759152516</v>
      </c>
      <c r="H24" s="18" t="n">
        <f aca="false">G24+H23</f>
        <v>13846.6867440412</v>
      </c>
      <c r="I24" s="18" t="n">
        <f aca="false">H24+I23</f>
        <v>15110.1536114816</v>
      </c>
      <c r="J24" s="18" t="n">
        <f aca="false">I24+J23</f>
        <v>4686.25514759641</v>
      </c>
      <c r="K24" s="18" t="n">
        <f aca="false">J24+K23</f>
        <v>6578.11769907238</v>
      </c>
      <c r="L24" s="18" t="n">
        <f aca="false">K24+L23</f>
        <v>8788.8988760631</v>
      </c>
      <c r="M24" s="18" t="n">
        <f aca="false">L24+M23</f>
        <v>11321.7878648237</v>
      </c>
      <c r="N24" s="18" t="n">
        <f aca="false">M24</f>
        <v>11321.7878648237</v>
      </c>
    </row>
    <row r="25" customFormat="false" ht="15" hidden="false" customHeight="false" outlineLevel="0" collapsed="false">
      <c r="A25" s="12" t="s">
        <v>116</v>
      </c>
      <c r="B25" s="29" t="n">
        <f aca="false">Premissas!$C$6*(1+Premissas!$D$45)</f>
        <v>60000</v>
      </c>
      <c r="C25" s="29" t="n">
        <f aca="false">B25*(1+Premissas!$E$45)</f>
        <v>61800</v>
      </c>
      <c r="D25" s="29" t="n">
        <f aca="false">C25*(1+Premissas!$E$45)</f>
        <v>63654</v>
      </c>
      <c r="E25" s="29" t="n">
        <f aca="false">D25*(1+Premissas!$E$45)</f>
        <v>65563.62</v>
      </c>
      <c r="F25" s="29" t="n">
        <f aca="false">E25*(1+Premissas!$E$45)</f>
        <v>67530.5286</v>
      </c>
      <c r="G25" s="29" t="n">
        <f aca="false">F25*(1+Premissas!$E$45)</f>
        <v>69556.444458</v>
      </c>
      <c r="H25" s="29" t="n">
        <f aca="false">G25*(1+Premissas!$E$45)</f>
        <v>71643.13779174</v>
      </c>
      <c r="I25" s="29" t="n">
        <f aca="false">H25*(1+Premissas!$E$45)</f>
        <v>73792.4319254922</v>
      </c>
      <c r="J25" s="29" t="n">
        <f aca="false">I25*(1+Premissas!$E$45)</f>
        <v>76006.204883257</v>
      </c>
      <c r="K25" s="29" t="n">
        <f aca="false">J25*(1+Premissas!$E$45)</f>
        <v>78286.3910297547</v>
      </c>
      <c r="L25" s="29" t="n">
        <f aca="false">K25*(1+Premissas!$E$45)</f>
        <v>80634.9827606473</v>
      </c>
      <c r="M25" s="29" t="n">
        <f aca="false">L25*(1+Premissas!$E$45)</f>
        <v>83054.0322434668</v>
      </c>
      <c r="N25" s="18" t="n">
        <f aca="false">SUM(B25:M25)</f>
        <v>851521.773692358</v>
      </c>
    </row>
    <row r="26" customFormat="false" ht="15" hidden="false" customHeight="false" outlineLevel="0" collapsed="false">
      <c r="A26" s="12" t="s">
        <v>117</v>
      </c>
      <c r="B26" s="29" t="n">
        <f aca="false">B25*(1-Premissas!$C$9-Premissas!$C$8)-Premissas!$C$22-Premissas!$D$26</f>
        <v>-5600</v>
      </c>
      <c r="C26" s="29" t="n">
        <f aca="false">C25*(1-Premissas!$C$9-Premissas!$C$8)-Premissas!$C$22-Premissas!$D$27</f>
        <v>3372</v>
      </c>
      <c r="D26" s="29" t="n">
        <f aca="false">D25*(1-Premissas!$C$9-Premissas!$C$8)-Premissas!$C$22-Premissas!$D$28</f>
        <v>4373.16</v>
      </c>
      <c r="E26" s="29" t="n">
        <f aca="false">E25*(1-Premissas!$C$9-Premissas!$C$8)-Premissas!$C$22-Premissas!$D$29</f>
        <v>1904.3548</v>
      </c>
      <c r="F26" s="29" t="n">
        <f aca="false">F25*(1-Premissas!$C$9-Premissas!$C$8)-Premissas!$C$22-Premissas!$D$30</f>
        <v>6466.485444</v>
      </c>
      <c r="G26" s="29" t="n">
        <f aca="false">G25*(1-Premissas!$C$9-Premissas!$C$8)-Premissas!$C$22-Premissas!$D$31</f>
        <v>7560.48000732</v>
      </c>
      <c r="H26" s="29" t="n">
        <f aca="false">H25*(1-Premissas!$C$9-Premissas!$C$8)-Premissas!$C$22-Premissas!$D$32</f>
        <v>8687.2944075396</v>
      </c>
      <c r="I26" s="29" t="n">
        <f aca="false">I25*(1-Premissas!$C$9-Premissas!$C$8)-Premissas!$C$22-Premissas!$D$33</f>
        <v>9847.91323976579</v>
      </c>
      <c r="J26" s="29" t="n">
        <f aca="false">J25*(1-Premissas!$C$9-Premissas!$C$8)-Premissas!$C$22-Premissas!$D$34</f>
        <v>-956.64936304123</v>
      </c>
      <c r="K26" s="29" t="n">
        <f aca="false">K25*(1-Premissas!$C$9-Premissas!$C$8)-Premissas!$C$22-Premissas!$D$35</f>
        <v>12274.6511560675</v>
      </c>
      <c r="L26" s="29" t="n">
        <f aca="false">L25*(1-Premissas!$C$9-Premissas!$C$8)-Premissas!$C$22-Premissas!$D$36</f>
        <v>13542.8906907496</v>
      </c>
      <c r="M26" s="29" t="n">
        <f aca="false">M25*(1-Premissas!$C$9-Premissas!$C$8)-Premissas!$C$22-Premissas!$D$37</f>
        <v>14849.177411472</v>
      </c>
      <c r="N26" s="18" t="n">
        <f aca="false">SUM(B26:M26)</f>
        <v>76321.7577938733</v>
      </c>
    </row>
    <row r="27" customFormat="false" ht="15" hidden="false" customHeight="false" outlineLevel="0" collapsed="false">
      <c r="A27" s="17" t="s">
        <v>118</v>
      </c>
      <c r="B27" s="18" t="n">
        <f aca="false">Premissas!$C$10+B26</f>
        <v>19400</v>
      </c>
      <c r="C27" s="18" t="n">
        <f aca="false">B27+C26</f>
        <v>22772</v>
      </c>
      <c r="D27" s="18" t="n">
        <f aca="false">C27+D26</f>
        <v>27145.16</v>
      </c>
      <c r="E27" s="18" t="n">
        <f aca="false">D27+E26</f>
        <v>29049.5148</v>
      </c>
      <c r="F27" s="18" t="n">
        <f aca="false">E27+F26</f>
        <v>35516.000244</v>
      </c>
      <c r="G27" s="18" t="n">
        <f aca="false">F27+G26</f>
        <v>43076.48025132</v>
      </c>
      <c r="H27" s="18" t="n">
        <f aca="false">G27+H26</f>
        <v>51763.7746588596</v>
      </c>
      <c r="I27" s="18" t="n">
        <f aca="false">H27+I26</f>
        <v>61611.6878986254</v>
      </c>
      <c r="J27" s="18" t="n">
        <f aca="false">I27+J26</f>
        <v>60655.0385355842</v>
      </c>
      <c r="K27" s="18" t="n">
        <f aca="false">J27+K26</f>
        <v>72929.6896916517</v>
      </c>
      <c r="L27" s="18" t="n">
        <f aca="false">K27+L26</f>
        <v>86472.5803824013</v>
      </c>
      <c r="M27" s="18" t="n">
        <f aca="false">L27+M26</f>
        <v>101321.757793873</v>
      </c>
      <c r="N27" s="18" t="n">
        <f aca="false">M27</f>
        <v>101321.757793873</v>
      </c>
    </row>
    <row r="28" customFormat="false" ht="15" hidden="false" customHeight="false" outlineLevel="0" collapsed="false">
      <c r="A28" s="12" t="s">
        <v>119</v>
      </c>
      <c r="B28" s="29" t="n">
        <f aca="false">Premissas!$C$6*(1+Premissas!$D$46)</f>
        <v>66000</v>
      </c>
      <c r="C28" s="29" t="n">
        <f aca="false">B28*(1+Premissas!$E$46)</f>
        <v>69300</v>
      </c>
      <c r="D28" s="29" t="n">
        <f aca="false">C28*(1+Premissas!$E$46)</f>
        <v>72765</v>
      </c>
      <c r="E28" s="29" t="n">
        <f aca="false">D28*(1+Premissas!$E$46)</f>
        <v>76403.25</v>
      </c>
      <c r="F28" s="29" t="n">
        <f aca="false">E28*(1+Premissas!$E$46)</f>
        <v>80223.4125</v>
      </c>
      <c r="G28" s="29" t="n">
        <f aca="false">F28*(1+Premissas!$E$46)</f>
        <v>84234.583125</v>
      </c>
      <c r="H28" s="29" t="n">
        <f aca="false">G28*(1+Premissas!$E$46)</f>
        <v>88446.31228125</v>
      </c>
      <c r="I28" s="29" t="n">
        <f aca="false">H28*(1+Premissas!$E$46)</f>
        <v>92868.6278953125</v>
      </c>
      <c r="J28" s="29" t="n">
        <f aca="false">I28*(1+Premissas!$E$46)</f>
        <v>97512.0592900782</v>
      </c>
      <c r="K28" s="29" t="n">
        <f aca="false">J28*(1+Premissas!$E$46)</f>
        <v>102387.662254582</v>
      </c>
      <c r="L28" s="29" t="n">
        <f aca="false">K28*(1+Premissas!$E$46)</f>
        <v>107507.045367311</v>
      </c>
      <c r="M28" s="29" t="n">
        <f aca="false">L28*(1+Premissas!$E$46)</f>
        <v>112882.397635677</v>
      </c>
      <c r="N28" s="18" t="n">
        <f aca="false">SUM(B28:M28)</f>
        <v>1050530.35034921</v>
      </c>
    </row>
    <row r="29" customFormat="false" ht="15" hidden="false" customHeight="false" outlineLevel="0" collapsed="false">
      <c r="A29" s="12" t="s">
        <v>120</v>
      </c>
      <c r="B29" s="29" t="n">
        <f aca="false">B28*(1-Premissas!$C$9-Premissas!$C$8)-Premissas!$C$22-Premissas!$D$26</f>
        <v>-2360</v>
      </c>
      <c r="C29" s="29" t="n">
        <f aca="false">C28*(1-Premissas!$C$9-Premissas!$C$8)-Premissas!$C$22-Premissas!$D$27</f>
        <v>7422</v>
      </c>
      <c r="D29" s="29" t="n">
        <f aca="false">D28*(1-Premissas!$C$9-Premissas!$C$8)-Premissas!$C$22-Premissas!$D$28</f>
        <v>9293.10000000001</v>
      </c>
      <c r="E29" s="29" t="n">
        <f aca="false">E28*(1-Premissas!$C$9-Premissas!$C$8)-Premissas!$C$22-Premissas!$D$29</f>
        <v>7757.75500000001</v>
      </c>
      <c r="F29" s="29" t="n">
        <f aca="false">F28*(1-Premissas!$C$9-Premissas!$C$8)-Premissas!$C$22-Premissas!$D$30</f>
        <v>13320.64275</v>
      </c>
      <c r="G29" s="29" t="n">
        <f aca="false">G28*(1-Premissas!$C$9-Premissas!$C$8)-Premissas!$C$22-Premissas!$D$31</f>
        <v>15486.6748875</v>
      </c>
      <c r="H29" s="29" t="n">
        <f aca="false">H28*(1-Premissas!$C$9-Premissas!$C$8)-Premissas!$C$22-Premissas!$D$32</f>
        <v>17761.008631875</v>
      </c>
      <c r="I29" s="29" t="n">
        <f aca="false">I28*(1-Premissas!$C$9-Premissas!$C$8)-Premissas!$C$22-Premissas!$D$33</f>
        <v>20149.0590634688</v>
      </c>
      <c r="J29" s="29" t="n">
        <f aca="false">J28*(1-Premissas!$C$9-Premissas!$C$8)-Premissas!$C$22-Premissas!$D$34</f>
        <v>10656.5120166422</v>
      </c>
      <c r="K29" s="29" t="n">
        <f aca="false">K28*(1-Premissas!$C$9-Premissas!$C$8)-Premissas!$C$22-Premissas!$D$35</f>
        <v>25289.3376174743</v>
      </c>
      <c r="L29" s="29" t="n">
        <f aca="false">L28*(1-Premissas!$C$9-Premissas!$C$8)-Premissas!$C$22-Premissas!$D$36</f>
        <v>28053.804498348</v>
      </c>
      <c r="M29" s="29" t="n">
        <f aca="false">M28*(1-Premissas!$C$9-Premissas!$C$8)-Premissas!$C$22-Premissas!$D$37</f>
        <v>30956.4947232654</v>
      </c>
      <c r="N29" s="18" t="n">
        <f aca="false">SUM(B29:M29)</f>
        <v>183786.389188574</v>
      </c>
    </row>
    <row r="30" customFormat="false" ht="15" hidden="false" customHeight="false" outlineLevel="0" collapsed="false">
      <c r="A30" s="17" t="s">
        <v>121</v>
      </c>
      <c r="B30" s="18" t="n">
        <f aca="false">Premissas!$C$10+B29</f>
        <v>22640</v>
      </c>
      <c r="C30" s="18" t="n">
        <f aca="false">B30+C29</f>
        <v>30062</v>
      </c>
      <c r="D30" s="18" t="n">
        <f aca="false">C30+D29</f>
        <v>39355.1</v>
      </c>
      <c r="E30" s="18" t="n">
        <f aca="false">D30+E29</f>
        <v>47112.855</v>
      </c>
      <c r="F30" s="18" t="n">
        <f aca="false">E30+F29</f>
        <v>60433.49775</v>
      </c>
      <c r="G30" s="18" t="n">
        <f aca="false">F30+G29</f>
        <v>75920.1726375</v>
      </c>
      <c r="H30" s="18" t="n">
        <f aca="false">G30+H29</f>
        <v>93681.181269375</v>
      </c>
      <c r="I30" s="18" t="n">
        <f aca="false">H30+I29</f>
        <v>113830.240332844</v>
      </c>
      <c r="J30" s="18" t="n">
        <f aca="false">I30+J29</f>
        <v>124486.752349486</v>
      </c>
      <c r="K30" s="18" t="n">
        <f aca="false">J30+K29</f>
        <v>149776.08996696</v>
      </c>
      <c r="L30" s="18" t="n">
        <f aca="false">K30+L29</f>
        <v>177829.894465308</v>
      </c>
      <c r="M30" s="18" t="n">
        <f aca="false">L30+M29</f>
        <v>208786.389188574</v>
      </c>
      <c r="N30" s="18" t="n">
        <f aca="false">M30</f>
        <v>208786.389188574</v>
      </c>
    </row>
  </sheetData>
  <printOptions headings="false" gridLines="false" gridLinesSet="true" horizontalCentered="true" verticalCentered="false"/>
  <pageMargins left="0.5" right="0.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2026-10-09T03:57:00Z</dcterms:created>
  <dc:creator>Batistela Gestão Empresarial</dc:creator>
  <dc:description/>
  <dc:language>en-US</dc:language>
  <cp:lastModifiedBy/>
  <dcterms:modified xsi:type="dcterms:W3CDTF">2026-10-09T03:57:07Z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